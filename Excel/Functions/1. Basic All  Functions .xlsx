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Data Analyst\Excel\Functions\"/>
    </mc:Choice>
  </mc:AlternateContent>
  <xr:revisionPtr revIDLastSave="0" documentId="13_ncr:1_{C4D3BC6A-E9B0-4370-82FD-AAFA8DA23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ation" sheetId="1" r:id="rId1"/>
    <sheet name="Explian all Functions" sheetId="21" r:id="rId2"/>
    <sheet name="Upper Lower &amp; Proper" sheetId="2" r:id="rId3"/>
    <sheet name="Trim" sheetId="3" r:id="rId4"/>
    <sheet name="Concatenate" sheetId="4" r:id="rId5"/>
    <sheet name="ROMAN" sheetId="5" r:id="rId6"/>
    <sheet name="Left Right &amp; Mid" sheetId="6" r:id="rId7"/>
    <sheet name="Exact LEN &amp; Repeat" sheetId="7" r:id="rId8"/>
    <sheet name="Add Sub Multi Div &amp; Percnt" sheetId="8" r:id="rId9"/>
    <sheet name="int abs fact power" sheetId="9" r:id="rId10"/>
    <sheet name="SQRT value floor ceiling round" sheetId="10" r:id="rId11"/>
    <sheet name="isblank" sheetId="11" r:id="rId12"/>
    <sheet name="Trace Preced &amp; Dependents" sheetId="12" r:id="rId13"/>
    <sheet name="Large &amp; Small" sheetId="13" r:id="rId14"/>
    <sheet name="Row Rows Columns &amp; coulumn" sheetId="14" r:id="rId15"/>
    <sheet name="Find &amp; Search" sheetId="15" r:id="rId16"/>
    <sheet name="Iferror IsError" sheetId="16" r:id="rId17"/>
    <sheet name="IsOdd Is Even IsText IsNonText" sheetId="17" r:id="rId18"/>
    <sheet name="N NA &amp; IsNA IFNA" sheetId="18" r:id="rId19"/>
    <sheet name="ISLogical ISERR ISREF" sheetId="19" r:id="rId20"/>
    <sheet name="ISFormula" sheetId="20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5" l="1"/>
  <c r="E8" i="15"/>
  <c r="C5" i="12"/>
  <c r="D21" i="11"/>
  <c r="D22" i="11" s="1"/>
  <c r="D23" i="11" s="1"/>
  <c r="F34" i="9"/>
  <c r="E19" i="9"/>
  <c r="E24" i="9"/>
  <c r="F24" i="9"/>
  <c r="K4" i="9"/>
  <c r="E10" i="8"/>
  <c r="L6" i="8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E13" i="20"/>
  <c r="E12" i="20"/>
  <c r="E11" i="20"/>
  <c r="D11" i="20"/>
  <c r="E10" i="20"/>
  <c r="E9" i="20"/>
  <c r="E8" i="20"/>
  <c r="E7" i="20"/>
  <c r="D7" i="20"/>
  <c r="E6" i="20"/>
  <c r="D6" i="20"/>
  <c r="E5" i="20"/>
  <c r="D5" i="20"/>
  <c r="E4" i="20"/>
  <c r="D4" i="20"/>
  <c r="E14" i="19"/>
  <c r="N13" i="19"/>
  <c r="J13" i="19"/>
  <c r="E13" i="19"/>
  <c r="N12" i="19"/>
  <c r="J12" i="19"/>
  <c r="E12" i="19"/>
  <c r="N11" i="19"/>
  <c r="J11" i="19"/>
  <c r="E11" i="19"/>
  <c r="N10" i="19"/>
  <c r="J10" i="19"/>
  <c r="E10" i="19"/>
  <c r="N9" i="19"/>
  <c r="J9" i="19"/>
  <c r="E9" i="19"/>
  <c r="N8" i="19"/>
  <c r="J8" i="19"/>
  <c r="D8" i="19"/>
  <c r="E8" i="19" s="1"/>
  <c r="O7" i="19"/>
  <c r="N7" i="19"/>
  <c r="J7" i="19"/>
  <c r="E7" i="19"/>
  <c r="N6" i="19"/>
  <c r="J6" i="19"/>
  <c r="E6" i="19"/>
  <c r="N5" i="19"/>
  <c r="M5" i="19"/>
  <c r="J5" i="19"/>
  <c r="I5" i="19"/>
  <c r="E5" i="19"/>
  <c r="D5" i="19"/>
  <c r="D28" i="18"/>
  <c r="E28" i="18" s="1"/>
  <c r="D27" i="18"/>
  <c r="E27" i="18" s="1"/>
  <c r="E26" i="18"/>
  <c r="D25" i="18"/>
  <c r="E25" i="18" s="1"/>
  <c r="D24" i="18"/>
  <c r="E24" i="18" s="1"/>
  <c r="E23" i="18"/>
  <c r="D22" i="18"/>
  <c r="E22" i="18" s="1"/>
  <c r="D21" i="18"/>
  <c r="E21" i="18" s="1"/>
  <c r="E20" i="18"/>
  <c r="D19" i="18"/>
  <c r="E19" i="18" s="1"/>
  <c r="M14" i="18"/>
  <c r="L14" i="18"/>
  <c r="M13" i="18"/>
  <c r="L13" i="18"/>
  <c r="E13" i="18"/>
  <c r="M12" i="18"/>
  <c r="L12" i="18"/>
  <c r="E12" i="18"/>
  <c r="M11" i="18"/>
  <c r="L11" i="18"/>
  <c r="E11" i="18"/>
  <c r="M10" i="18"/>
  <c r="L10" i="18"/>
  <c r="E10" i="18"/>
  <c r="M9" i="18"/>
  <c r="L9" i="18"/>
  <c r="H9" i="18"/>
  <c r="E9" i="18"/>
  <c r="M8" i="18"/>
  <c r="L8" i="18"/>
  <c r="H8" i="18"/>
  <c r="E8" i="18"/>
  <c r="M7" i="18"/>
  <c r="L7" i="18"/>
  <c r="H7" i="18"/>
  <c r="E7" i="18"/>
  <c r="M6" i="18"/>
  <c r="L6" i="18"/>
  <c r="H6" i="18"/>
  <c r="E6" i="18"/>
  <c r="M5" i="18"/>
  <c r="L5" i="18"/>
  <c r="H5" i="18"/>
  <c r="E5" i="18"/>
  <c r="I16" i="17"/>
  <c r="H16" i="17"/>
  <c r="G16" i="17"/>
  <c r="F16" i="17"/>
  <c r="E16" i="17"/>
  <c r="I15" i="17"/>
  <c r="H15" i="17"/>
  <c r="G15" i="17"/>
  <c r="F15" i="17"/>
  <c r="E15" i="17"/>
  <c r="I14" i="17"/>
  <c r="H14" i="17"/>
  <c r="G14" i="17"/>
  <c r="F14" i="17"/>
  <c r="E14" i="17"/>
  <c r="I13" i="17"/>
  <c r="H13" i="17"/>
  <c r="G13" i="17"/>
  <c r="F13" i="17"/>
  <c r="E13" i="17"/>
  <c r="I12" i="17"/>
  <c r="H12" i="17"/>
  <c r="G12" i="17"/>
  <c r="F12" i="17"/>
  <c r="E12" i="17"/>
  <c r="I11" i="17"/>
  <c r="H11" i="17"/>
  <c r="G11" i="17"/>
  <c r="F11" i="17"/>
  <c r="E11" i="17"/>
  <c r="I10" i="17"/>
  <c r="H10" i="17"/>
  <c r="G10" i="17"/>
  <c r="F10" i="17"/>
  <c r="E10" i="17"/>
  <c r="I9" i="17"/>
  <c r="H9" i="17"/>
  <c r="G9" i="17"/>
  <c r="F9" i="17"/>
  <c r="E9" i="17"/>
  <c r="I8" i="17"/>
  <c r="H8" i="17"/>
  <c r="G8" i="17"/>
  <c r="F8" i="17"/>
  <c r="E8" i="17"/>
  <c r="I7" i="17"/>
  <c r="H7" i="17"/>
  <c r="G7" i="17"/>
  <c r="F7" i="17"/>
  <c r="E7" i="17"/>
  <c r="I6" i="17"/>
  <c r="H6" i="17"/>
  <c r="G6" i="17"/>
  <c r="F6" i="17"/>
  <c r="E6" i="17"/>
  <c r="I5" i="17"/>
  <c r="H5" i="17"/>
  <c r="G5" i="17"/>
  <c r="F5" i="17"/>
  <c r="E5" i="17"/>
  <c r="O16" i="16"/>
  <c r="O15" i="16"/>
  <c r="O14" i="16"/>
  <c r="O13" i="16"/>
  <c r="O12" i="16"/>
  <c r="K12" i="16"/>
  <c r="O11" i="16"/>
  <c r="O10" i="16"/>
  <c r="O9" i="16"/>
  <c r="N8" i="16"/>
  <c r="O8" i="16" s="1"/>
  <c r="E21" i="15"/>
  <c r="E20" i="15"/>
  <c r="E19" i="15"/>
  <c r="E18" i="15"/>
  <c r="E17" i="15"/>
  <c r="E16" i="15"/>
  <c r="E11" i="15"/>
  <c r="E9" i="15"/>
  <c r="E7" i="15"/>
  <c r="E6" i="15"/>
  <c r="I8" i="14"/>
  <c r="I7" i="14"/>
  <c r="I10" i="14"/>
  <c r="I9" i="14"/>
  <c r="H6" i="13"/>
  <c r="H5" i="13"/>
  <c r="J5" i="12"/>
  <c r="D20" i="11"/>
  <c r="D19" i="11"/>
  <c r="E10" i="11"/>
  <c r="E9" i="11"/>
  <c r="E8" i="11"/>
  <c r="E7" i="11"/>
  <c r="E6" i="11"/>
  <c r="E5" i="11"/>
  <c r="F41" i="10"/>
  <c r="F40" i="10"/>
  <c r="F39" i="10"/>
  <c r="F38" i="10"/>
  <c r="F37" i="10"/>
  <c r="F36" i="10"/>
  <c r="F35" i="10"/>
  <c r="F34" i="10"/>
  <c r="F33" i="10"/>
  <c r="F32" i="10"/>
  <c r="L26" i="10"/>
  <c r="H26" i="10"/>
  <c r="G26" i="10"/>
  <c r="F26" i="10"/>
  <c r="L25" i="10"/>
  <c r="H25" i="10"/>
  <c r="G25" i="10"/>
  <c r="F25" i="10"/>
  <c r="L24" i="10"/>
  <c r="H24" i="10"/>
  <c r="G24" i="10"/>
  <c r="F24" i="10"/>
  <c r="L23" i="10"/>
  <c r="H23" i="10"/>
  <c r="G23" i="10"/>
  <c r="F23" i="10"/>
  <c r="L22" i="10"/>
  <c r="H22" i="10"/>
  <c r="G22" i="10"/>
  <c r="F22" i="10"/>
  <c r="L21" i="10"/>
  <c r="H21" i="10"/>
  <c r="G21" i="10"/>
  <c r="F21" i="10"/>
  <c r="L20" i="10"/>
  <c r="H20" i="10"/>
  <c r="G20" i="10"/>
  <c r="F20" i="10"/>
  <c r="L19" i="10"/>
  <c r="H19" i="10"/>
  <c r="G19" i="10"/>
  <c r="F19" i="10"/>
  <c r="L18" i="10"/>
  <c r="H18" i="10"/>
  <c r="G18" i="10"/>
  <c r="F18" i="10"/>
  <c r="L17" i="10"/>
  <c r="H17" i="10"/>
  <c r="G17" i="10"/>
  <c r="F17" i="10"/>
  <c r="Q12" i="10"/>
  <c r="P12" i="10"/>
  <c r="E12" i="10"/>
  <c r="Q11" i="10"/>
  <c r="P11" i="10"/>
  <c r="E11" i="10"/>
  <c r="Q10" i="10"/>
  <c r="P10" i="10"/>
  <c r="E10" i="10"/>
  <c r="Q9" i="10"/>
  <c r="P9" i="10"/>
  <c r="E9" i="10"/>
  <c r="Q8" i="10"/>
  <c r="P8" i="10"/>
  <c r="E8" i="10"/>
  <c r="Q7" i="10"/>
  <c r="P7" i="10"/>
  <c r="E7" i="10"/>
  <c r="Q6" i="10"/>
  <c r="P6" i="10"/>
  <c r="I6" i="10"/>
  <c r="E6" i="10"/>
  <c r="Q5" i="10"/>
  <c r="P5" i="10"/>
  <c r="J5" i="10"/>
  <c r="E5" i="10"/>
  <c r="Q4" i="10"/>
  <c r="P4" i="10"/>
  <c r="J4" i="10"/>
  <c r="E4" i="10"/>
  <c r="Q3" i="10"/>
  <c r="P3" i="10"/>
  <c r="J3" i="10"/>
  <c r="J6" i="10" s="1"/>
  <c r="E3" i="10"/>
  <c r="F43" i="9"/>
  <c r="F42" i="9"/>
  <c r="F41" i="9"/>
  <c r="F40" i="9"/>
  <c r="F39" i="9"/>
  <c r="F38" i="9"/>
  <c r="F37" i="9"/>
  <c r="F36" i="9"/>
  <c r="F35" i="9"/>
  <c r="F28" i="9"/>
  <c r="E28" i="9"/>
  <c r="F27" i="9"/>
  <c r="E27" i="9"/>
  <c r="F26" i="9"/>
  <c r="E26" i="9"/>
  <c r="F25" i="9"/>
  <c r="E25" i="9"/>
  <c r="F23" i="9"/>
  <c r="E23" i="9"/>
  <c r="F22" i="9"/>
  <c r="E22" i="9"/>
  <c r="F21" i="9"/>
  <c r="E21" i="9"/>
  <c r="F20" i="9"/>
  <c r="E20" i="9"/>
  <c r="F19" i="9"/>
  <c r="L13" i="9"/>
  <c r="K13" i="9"/>
  <c r="E13" i="9"/>
  <c r="K12" i="9"/>
  <c r="L12" i="9" s="1"/>
  <c r="E12" i="9"/>
  <c r="L11" i="9"/>
  <c r="K11" i="9"/>
  <c r="E11" i="9"/>
  <c r="K10" i="9"/>
  <c r="L10" i="9" s="1"/>
  <c r="E10" i="9"/>
  <c r="L9" i="9"/>
  <c r="K9" i="9"/>
  <c r="E9" i="9"/>
  <c r="K8" i="9"/>
  <c r="L8" i="9" s="1"/>
  <c r="E8" i="9"/>
  <c r="L7" i="9"/>
  <c r="K7" i="9"/>
  <c r="E7" i="9"/>
  <c r="K6" i="9"/>
  <c r="L6" i="9" s="1"/>
  <c r="E6" i="9"/>
  <c r="L5" i="9"/>
  <c r="K5" i="9"/>
  <c r="E5" i="9"/>
  <c r="L4" i="9"/>
  <c r="E4" i="9"/>
  <c r="I52" i="8"/>
  <c r="I51" i="8"/>
  <c r="I50" i="8"/>
  <c r="I49" i="8"/>
  <c r="I48" i="8"/>
  <c r="H41" i="8"/>
  <c r="E41" i="8"/>
  <c r="E30" i="8"/>
  <c r="K27" i="8"/>
  <c r="E20" i="8"/>
  <c r="K17" i="8"/>
  <c r="P12" i="7"/>
  <c r="F12" i="7"/>
  <c r="P11" i="7"/>
  <c r="F11" i="7"/>
  <c r="P10" i="7"/>
  <c r="K10" i="7"/>
  <c r="F10" i="7"/>
  <c r="P9" i="7"/>
  <c r="K9" i="7"/>
  <c r="F9" i="7"/>
  <c r="P8" i="7"/>
  <c r="K8" i="7"/>
  <c r="F8" i="7"/>
  <c r="P7" i="7"/>
  <c r="K7" i="7"/>
  <c r="F7" i="7"/>
  <c r="P6" i="7"/>
  <c r="K6" i="7"/>
  <c r="F6" i="7"/>
  <c r="G39" i="6"/>
  <c r="G38" i="6"/>
  <c r="G37" i="6"/>
  <c r="G36" i="6"/>
  <c r="G35" i="6"/>
  <c r="G34" i="6"/>
  <c r="G33" i="6"/>
  <c r="G32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E10" i="5"/>
  <c r="E9" i="5"/>
  <c r="E8" i="5"/>
  <c r="E7" i="5"/>
  <c r="E6" i="5"/>
  <c r="E5" i="5"/>
  <c r="E4" i="5"/>
  <c r="H5" i="4"/>
  <c r="G5" i="4"/>
  <c r="F5" i="4"/>
  <c r="I4" i="4"/>
  <c r="H4" i="4"/>
  <c r="G4" i="4"/>
  <c r="F4" i="4"/>
  <c r="F11" i="3"/>
  <c r="F10" i="3"/>
  <c r="F9" i="3"/>
  <c r="F8" i="3"/>
  <c r="F7" i="3"/>
  <c r="F6" i="3"/>
  <c r="F5" i="3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</calcChain>
</file>

<file path=xl/sharedStrings.xml><?xml version="1.0" encoding="utf-8"?>
<sst xmlns="http://schemas.openxmlformats.org/spreadsheetml/2006/main" count="575" uniqueCount="409">
  <si>
    <t>Upper</t>
  </si>
  <si>
    <t>Lower</t>
  </si>
  <si>
    <t>Proper</t>
  </si>
  <si>
    <t>Trim</t>
  </si>
  <si>
    <t>Concatenate</t>
  </si>
  <si>
    <t>Roman</t>
  </si>
  <si>
    <t>Left</t>
  </si>
  <si>
    <t>Right</t>
  </si>
  <si>
    <t>Mid</t>
  </si>
  <si>
    <t>Exact</t>
  </si>
  <si>
    <t>Len</t>
  </si>
  <si>
    <t>Repeat</t>
  </si>
  <si>
    <t>Addtion</t>
  </si>
  <si>
    <t>Substrion</t>
  </si>
  <si>
    <t>Divtion</t>
  </si>
  <si>
    <t>Multip</t>
  </si>
  <si>
    <t>Percentage</t>
  </si>
  <si>
    <t>Int</t>
  </si>
  <si>
    <t>ABS</t>
  </si>
  <si>
    <t>Fact</t>
  </si>
  <si>
    <t>Power</t>
  </si>
  <si>
    <t>Sqrt</t>
  </si>
  <si>
    <t>Value</t>
  </si>
  <si>
    <t>Floor</t>
  </si>
  <si>
    <t>Ceiling</t>
  </si>
  <si>
    <t>Round</t>
  </si>
  <si>
    <t>Isblank</t>
  </si>
  <si>
    <t>Trace Preced</t>
  </si>
  <si>
    <t>TraceDependents</t>
  </si>
  <si>
    <t>Large</t>
  </si>
  <si>
    <t>Small</t>
  </si>
  <si>
    <t>Row</t>
  </si>
  <si>
    <t>Rows</t>
  </si>
  <si>
    <t>Columns</t>
  </si>
  <si>
    <t>Column</t>
  </si>
  <si>
    <t>Find</t>
  </si>
  <si>
    <t>Search</t>
  </si>
  <si>
    <t>Iferror</t>
  </si>
  <si>
    <t>IsError</t>
  </si>
  <si>
    <t>IsOdd</t>
  </si>
  <si>
    <t>IsEven</t>
  </si>
  <si>
    <t>Istext</t>
  </si>
  <si>
    <t>Isnontext</t>
  </si>
  <si>
    <t>N</t>
  </si>
  <si>
    <t>NA</t>
  </si>
  <si>
    <t>IsNA</t>
  </si>
  <si>
    <t>IfNA</t>
  </si>
  <si>
    <t>Islogical</t>
  </si>
  <si>
    <t>Isref</t>
  </si>
  <si>
    <t>Isformula</t>
  </si>
  <si>
    <t>Basic Functions</t>
  </si>
  <si>
    <t>S No.</t>
  </si>
  <si>
    <t>Name</t>
  </si>
  <si>
    <t>sunny</t>
  </si>
  <si>
    <t>RaHul</t>
  </si>
  <si>
    <t>dHRAMEnDEr</t>
  </si>
  <si>
    <t>neha</t>
  </si>
  <si>
    <t>POOJA</t>
  </si>
  <si>
    <t>dEEPak</t>
  </si>
  <si>
    <t xml:space="preserve">Name </t>
  </si>
  <si>
    <t xml:space="preserve">Ridhima bhardwaj    </t>
  </si>
  <si>
    <t xml:space="preserve">Rahul   gupta       </t>
  </si>
  <si>
    <t xml:space="preserve">dharmenderkumar  </t>
  </si>
  <si>
    <t xml:space="preserve">sunny      BAJA     </t>
  </si>
  <si>
    <t xml:space="preserve">POOJA       </t>
  </si>
  <si>
    <t>manish kannoujiya</t>
  </si>
  <si>
    <t>raj     singhania</t>
  </si>
  <si>
    <t>&amp;</t>
  </si>
  <si>
    <t>S.no</t>
  </si>
  <si>
    <t>Single</t>
  </si>
  <si>
    <t>Text with namy alphabet</t>
  </si>
  <si>
    <t>Sunny</t>
  </si>
  <si>
    <t>Rajesh Yadav</t>
  </si>
  <si>
    <t>Megha</t>
  </si>
  <si>
    <t>Akhilesh</t>
  </si>
  <si>
    <t>Dharmender</t>
  </si>
  <si>
    <t>Varsha</t>
  </si>
  <si>
    <t>Gautam</t>
  </si>
  <si>
    <t>Priyanka</t>
  </si>
  <si>
    <t>Starting</t>
  </si>
  <si>
    <t>Ending</t>
  </si>
  <si>
    <t>Answer</t>
  </si>
  <si>
    <t>Sunny Bajaj</t>
  </si>
  <si>
    <t>LEN</t>
  </si>
  <si>
    <t>Rept</t>
  </si>
  <si>
    <t>S. No.</t>
  </si>
  <si>
    <t>Text1</t>
  </si>
  <si>
    <t>Text2</t>
  </si>
  <si>
    <t>Row Data</t>
  </si>
  <si>
    <t>SUNNY</t>
  </si>
  <si>
    <t xml:space="preserve">Raj   </t>
  </si>
  <si>
    <t>pooja</t>
  </si>
  <si>
    <t>Pooja</t>
  </si>
  <si>
    <t>Manish Kannoujiya</t>
  </si>
  <si>
    <t>6/23/2017</t>
  </si>
  <si>
    <t>@</t>
  </si>
  <si>
    <t xml:space="preserve">                  </t>
  </si>
  <si>
    <t>6/23/2024</t>
  </si>
  <si>
    <t>!@#</t>
  </si>
  <si>
    <t>!@#$%</t>
  </si>
  <si>
    <t>I like it</t>
  </si>
  <si>
    <t>I   like it</t>
  </si>
  <si>
    <t>123-Ravi</t>
  </si>
  <si>
    <t>excel</t>
  </si>
  <si>
    <t xml:space="preserve">excel </t>
  </si>
  <si>
    <t>y</t>
  </si>
  <si>
    <t>Additon</t>
  </si>
  <si>
    <t xml:space="preserve">Substraction </t>
  </si>
  <si>
    <t>Multiplication</t>
  </si>
  <si>
    <t>Divide</t>
  </si>
  <si>
    <t>Total</t>
  </si>
  <si>
    <t>Achieved</t>
  </si>
  <si>
    <t>%</t>
  </si>
  <si>
    <t>Rahul</t>
  </si>
  <si>
    <t>Manish</t>
  </si>
  <si>
    <t>Pankaj</t>
  </si>
  <si>
    <t>S. No</t>
  </si>
  <si>
    <t>Number</t>
  </si>
  <si>
    <t>INT</t>
  </si>
  <si>
    <t>Number 1</t>
  </si>
  <si>
    <t>Number2</t>
  </si>
  <si>
    <t>Result</t>
  </si>
  <si>
    <t>factdouble use only odd or even if number even than multiply only even number and if odd number than multiply only odd number</t>
  </si>
  <si>
    <t>Numbers</t>
  </si>
  <si>
    <t>FactDouble</t>
  </si>
  <si>
    <t>SQRT</t>
  </si>
  <si>
    <t>Nearest</t>
  </si>
  <si>
    <t>5</t>
  </si>
  <si>
    <t>Digits</t>
  </si>
  <si>
    <t>Roundup</t>
  </si>
  <si>
    <t>Rounddown</t>
  </si>
  <si>
    <t>Mround</t>
  </si>
  <si>
    <t>Data</t>
  </si>
  <si>
    <t>raj</t>
  </si>
  <si>
    <t>----</t>
  </si>
  <si>
    <t>manish</t>
  </si>
  <si>
    <t>IF + Isblank</t>
  </si>
  <si>
    <t>Varsh</t>
  </si>
  <si>
    <t>Ravi</t>
  </si>
  <si>
    <t>Rohan</t>
  </si>
  <si>
    <t>Rajesh</t>
  </si>
  <si>
    <t>Trace Precedents</t>
  </si>
  <si>
    <t>Trace Dependents</t>
  </si>
  <si>
    <t>Sales</t>
  </si>
  <si>
    <t>Raj</t>
  </si>
  <si>
    <t>Shilpa</t>
  </si>
  <si>
    <t>Deepak</t>
  </si>
  <si>
    <t>Height</t>
  </si>
  <si>
    <t>Color</t>
  </si>
  <si>
    <t>Age</t>
  </si>
  <si>
    <t>peach</t>
  </si>
  <si>
    <t>red</t>
  </si>
  <si>
    <t>banana</t>
  </si>
  <si>
    <t>yellow</t>
  </si>
  <si>
    <t>mango</t>
  </si>
  <si>
    <t>green</t>
  </si>
  <si>
    <t>apple</t>
  </si>
  <si>
    <t>blue</t>
  </si>
  <si>
    <t>Search Text</t>
  </si>
  <si>
    <t>Letter to Search</t>
  </si>
  <si>
    <t>Text Position</t>
  </si>
  <si>
    <t>r</t>
  </si>
  <si>
    <t>w</t>
  </si>
  <si>
    <t>O</t>
  </si>
  <si>
    <t>i</t>
  </si>
  <si>
    <t>h</t>
  </si>
  <si>
    <t>t</t>
  </si>
  <si>
    <t>Year</t>
  </si>
  <si>
    <t>Shoes Name</t>
  </si>
  <si>
    <t>Quantity</t>
  </si>
  <si>
    <t>Price</t>
  </si>
  <si>
    <t>Values</t>
  </si>
  <si>
    <t>ISERROR</t>
  </si>
  <si>
    <t>Bata</t>
  </si>
  <si>
    <t>Nike</t>
  </si>
  <si>
    <t>Woodland</t>
  </si>
  <si>
    <t>Average</t>
  </si>
  <si>
    <t>Hello</t>
  </si>
  <si>
    <t>If Isodd</t>
  </si>
  <si>
    <t>IsText</t>
  </si>
  <si>
    <t>IsNonText</t>
  </si>
  <si>
    <t>@@</t>
  </si>
  <si>
    <t>5/19/2023</t>
  </si>
  <si>
    <t>Bye</t>
  </si>
  <si>
    <t>Ravinder Kannoujiya</t>
  </si>
  <si>
    <t>N Formula</t>
  </si>
  <si>
    <t>NA Formula</t>
  </si>
  <si>
    <t>ISNA</t>
  </si>
  <si>
    <t>Ravinder kannoujiya</t>
  </si>
  <si>
    <t>5/26/2018</t>
  </si>
  <si>
    <t>#DIV/0</t>
  </si>
  <si>
    <t>IFNA</t>
  </si>
  <si>
    <t>@@@@@</t>
  </si>
  <si>
    <t>ISLOGICAL</t>
  </si>
  <si>
    <t>ISERR</t>
  </si>
  <si>
    <t>ISREF</t>
  </si>
  <si>
    <t>example</t>
  </si>
  <si>
    <t>5/19/2018</t>
  </si>
  <si>
    <t>ISFORMULA</t>
  </si>
  <si>
    <t>S.No</t>
  </si>
  <si>
    <t>Amit</t>
  </si>
  <si>
    <t>Surera</t>
  </si>
  <si>
    <t>Factdouble</t>
  </si>
  <si>
    <t>amit.surera@gmail.com</t>
  </si>
  <si>
    <t>📘 Excel Functions Explained</t>
  </si>
  <si>
    <t>1. UPPER</t>
  </si>
  <si>
    <r>
      <t>Definition:</t>
    </r>
    <r>
      <rPr>
        <sz val="11"/>
        <color theme="1"/>
        <rFont val="Calibri"/>
        <family val="2"/>
        <scheme val="minor"/>
      </rPr>
      <t xml:space="preserve"> Converts text to uppercase.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</si>
  <si>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=UPPER(text)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</si>
  <si>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=UPPER("excel")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"EXCEL"</t>
    </r>
  </si>
  <si>
    <t>2. LOWER</t>
  </si>
  <si>
    <r>
      <t>Definition:</t>
    </r>
    <r>
      <rPr>
        <sz val="11"/>
        <color theme="1"/>
        <rFont val="Calibri"/>
        <family val="2"/>
        <scheme val="minor"/>
      </rPr>
      <t xml:space="preserve"> Converts text to lowercase.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</si>
  <si>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=LOWER(text)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</si>
  <si>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=LOWER("Excel")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"excel"</t>
    </r>
  </si>
  <si>
    <t>3. PROPER</t>
  </si>
  <si>
    <r>
      <t>Definition:</t>
    </r>
    <r>
      <rPr>
        <sz val="11"/>
        <color theme="1"/>
        <rFont val="Calibri"/>
        <family val="2"/>
        <scheme val="minor"/>
      </rPr>
      <t xml:space="preserve"> Capitalizes the first letter of each word.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</si>
  <si>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=PROPER(text)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</si>
  <si>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=PROPER("excel functions")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"Excel Functions"</t>
    </r>
  </si>
  <si>
    <t>4. TRIM</t>
  </si>
  <si>
    <r>
      <t>Definition:</t>
    </r>
    <r>
      <rPr>
        <sz val="11"/>
        <color theme="1"/>
        <rFont val="Calibri"/>
        <family val="2"/>
        <scheme val="minor"/>
      </rPr>
      <t xml:space="preserve"> Removes extra spaces (except single spaces between words).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</si>
  <si>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=TRIM(text)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</si>
  <si>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=TRIM(" Excel Functions 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"Excel Functions"</t>
    </r>
  </si>
  <si>
    <t>5. CONCATENATE (or CONCAT in new versions)</t>
  </si>
  <si>
    <r>
      <t>Definition:</t>
    </r>
    <r>
      <rPr>
        <sz val="11"/>
        <color theme="1"/>
        <rFont val="Calibri"/>
        <family val="2"/>
        <scheme val="minor"/>
      </rPr>
      <t xml:space="preserve"> Joins multiple strings into one.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</si>
  <si>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=CONCATENATE(text1, text2, …)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=CONCAT(text1, text2, …)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</si>
  <si>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=CONCATENATE("Excel", " ", "Functions")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"Excel Functions"</t>
    </r>
  </si>
  <si>
    <t>6. ROMAN</t>
  </si>
  <si>
    <r>
      <t>Definition:</t>
    </r>
    <r>
      <rPr>
        <sz val="11"/>
        <color theme="1"/>
        <rFont val="Calibri"/>
        <family val="2"/>
        <scheme val="minor"/>
      </rPr>
      <t xml:space="preserve"> Converts a number into Roman numerals.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</si>
  <si>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=ROMAN(number)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</si>
  <si>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=ROMAN(2025)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"MMXXV"</t>
    </r>
  </si>
  <si>
    <t>7. LEFT</t>
  </si>
  <si>
    <r>
      <t>Definition:</t>
    </r>
    <r>
      <rPr>
        <sz val="11"/>
        <color theme="1"/>
        <rFont val="Calibri"/>
        <family val="2"/>
        <scheme val="minor"/>
      </rPr>
      <t xml:space="preserve"> Extracts characters from the left side of text.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</si>
  <si>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=LEFT(text, num_chars)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</si>
  <si>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=LEFT("Excel", 3)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"Exc"</t>
    </r>
  </si>
  <si>
    <t>8. RIGHT</t>
  </si>
  <si>
    <r>
      <t>Definition:</t>
    </r>
    <r>
      <rPr>
        <sz val="11"/>
        <color theme="1"/>
        <rFont val="Calibri"/>
        <family val="2"/>
        <scheme val="minor"/>
      </rPr>
      <t xml:space="preserve"> Extracts characters from the right side of text.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</si>
  <si>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=RIGHT(text, num_chars)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</si>
  <si>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=RIGHT("Excel", 2)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"el"</t>
    </r>
  </si>
  <si>
    <t>9. MID</t>
  </si>
  <si>
    <r>
      <t>Definition:</t>
    </r>
    <r>
      <rPr>
        <sz val="11"/>
        <color theme="1"/>
        <rFont val="Calibri"/>
        <family val="2"/>
        <scheme val="minor"/>
      </rPr>
      <t xml:space="preserve"> Extracts text from the middle.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</si>
  <si>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=MID(text, start_num, num_chars)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</si>
  <si>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=MID("Excel", 2, 3)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"xce"</t>
    </r>
  </si>
  <si>
    <t>10. EXACT</t>
  </si>
  <si>
    <r>
      <t>Definition:</t>
    </r>
    <r>
      <rPr>
        <sz val="11"/>
        <color theme="1"/>
        <rFont val="Calibri"/>
        <family val="2"/>
        <scheme val="minor"/>
      </rPr>
      <t xml:space="preserve"> Compares two strings, returns TRUE if exactly the same.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</si>
  <si>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=EXACT(text1, text2)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</si>
  <si>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=EXACT("Excel","EXCEL")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FALSE</t>
    </r>
  </si>
  <si>
    <t>11. LEN</t>
  </si>
  <si>
    <r>
      <t>Definition:</t>
    </r>
    <r>
      <rPr>
        <sz val="11"/>
        <color theme="1"/>
        <rFont val="Calibri"/>
        <family val="2"/>
        <scheme val="minor"/>
      </rPr>
      <t xml:space="preserve"> Returns the number of characters (including spaces).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</si>
  <si>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=LEN(text)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</si>
  <si>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=LEN("Excel")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5</t>
    </r>
  </si>
  <si>
    <t>12. REPT (Repeat)</t>
  </si>
  <si>
    <r>
      <t>Definition:</t>
    </r>
    <r>
      <rPr>
        <sz val="11"/>
        <color theme="1"/>
        <rFont val="Calibri"/>
        <family val="2"/>
        <scheme val="minor"/>
      </rPr>
      <t xml:space="preserve"> Repeats text a given number of times.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</si>
  <si>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=REPT(text, number_times)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</si>
  <si>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=REPT("Hi", 3)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"HiHiHi"</t>
    </r>
  </si>
  <si>
    <t>13. ADDITION</t>
  </si>
  <si>
    <r>
      <t>Definition:</t>
    </r>
    <r>
      <rPr>
        <sz val="11"/>
        <color theme="1"/>
        <rFont val="Calibri"/>
        <family val="2"/>
        <scheme val="minor"/>
      </rPr>
      <t xml:space="preserve"> Adds numbers.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</si>
  <si>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=number1 + number2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=SUM(A1:A5)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</si>
  <si>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=5+3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8</t>
    </r>
  </si>
  <si>
    <t>14. SUBTRACTION</t>
  </si>
  <si>
    <r>
      <t>Definition:</t>
    </r>
    <r>
      <rPr>
        <sz val="11"/>
        <color theme="1"/>
        <rFont val="Calibri"/>
        <family val="2"/>
        <scheme val="minor"/>
      </rPr>
      <t xml:space="preserve"> Subtracts numbers.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</si>
  <si>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=number1 - number2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</si>
  <si>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=10-4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6</t>
    </r>
  </si>
  <si>
    <t>15. DIVISION</t>
  </si>
  <si>
    <r>
      <t>Definition:</t>
    </r>
    <r>
      <rPr>
        <sz val="11"/>
        <color theme="1"/>
        <rFont val="Calibri"/>
        <family val="2"/>
        <scheme val="minor"/>
      </rPr>
      <t xml:space="preserve"> Divides numbers.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</si>
  <si>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=number1/number2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</si>
  <si>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=20/4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5</t>
    </r>
  </si>
  <si>
    <t>16. MULTIPLICATION</t>
  </si>
  <si>
    <r>
      <t>Definition:</t>
    </r>
    <r>
      <rPr>
        <sz val="11"/>
        <color theme="1"/>
        <rFont val="Calibri"/>
        <family val="2"/>
        <scheme val="minor"/>
      </rPr>
      <t xml:space="preserve"> Multiplies numbers.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</si>
  <si>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=number1*number2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</si>
  <si>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=6*3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18</t>
    </r>
  </si>
  <si>
    <t>17. PERCENTAGE</t>
  </si>
  <si>
    <r>
      <t>Definition:</t>
    </r>
    <r>
      <rPr>
        <sz val="11"/>
        <color theme="1"/>
        <rFont val="Calibri"/>
        <family val="2"/>
        <scheme val="minor"/>
      </rPr>
      <t xml:space="preserve"> Converts a fraction to percentage.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</si>
  <si>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=part/total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</si>
  <si>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=50/200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0.25 → 25%</t>
    </r>
  </si>
  <si>
    <t>18. INT</t>
  </si>
  <si>
    <r>
      <t>Definition:</t>
    </r>
    <r>
      <rPr>
        <sz val="11"/>
        <color theme="1"/>
        <rFont val="Calibri"/>
        <family val="2"/>
        <scheme val="minor"/>
      </rPr>
      <t xml:space="preserve"> Returns integer part of a number.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</si>
  <si>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=INT(number)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</si>
  <si>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=INT(7.9)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7</t>
    </r>
  </si>
  <si>
    <t>19. ABS</t>
  </si>
  <si>
    <r>
      <t>Definition:</t>
    </r>
    <r>
      <rPr>
        <sz val="11"/>
        <color theme="1"/>
        <rFont val="Calibri"/>
        <family val="2"/>
        <scheme val="minor"/>
      </rPr>
      <t xml:space="preserve"> Returns absolute value (positive number).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</si>
  <si>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=ABS(number)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</si>
  <si>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=ABS(-25)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25</t>
    </r>
  </si>
  <si>
    <t>20. FACT</t>
  </si>
  <si>
    <r>
      <t>Definition:</t>
    </r>
    <r>
      <rPr>
        <sz val="11"/>
        <color theme="1"/>
        <rFont val="Calibri"/>
        <family val="2"/>
        <scheme val="minor"/>
      </rPr>
      <t xml:space="preserve"> Returns factorial of a number.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</si>
  <si>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=FACT(number)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</si>
  <si>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=FACT(5)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120</t>
    </r>
  </si>
  <si>
    <t>21. FACTDOUBLE</t>
  </si>
  <si>
    <r>
      <t>Definition:</t>
    </r>
    <r>
      <rPr>
        <sz val="11"/>
        <color theme="1"/>
        <rFont val="Calibri"/>
        <family val="2"/>
        <scheme val="minor"/>
      </rPr>
      <t xml:space="preserve"> Returns double factorial (n!!).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</si>
  <si>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=FACTDOUBLE(number)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</si>
  <si>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=FACTDOUBLE(6)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48</t>
    </r>
  </si>
  <si>
    <t>22. POWER</t>
  </si>
  <si>
    <r>
      <t>Definition:</t>
    </r>
    <r>
      <rPr>
        <sz val="11"/>
        <color theme="1"/>
        <rFont val="Calibri"/>
        <family val="2"/>
        <scheme val="minor"/>
      </rPr>
      <t xml:space="preserve"> Raises number to a power.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</si>
  <si>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=POWER(number, power)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</si>
  <si>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=POWER(2,3)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8</t>
    </r>
  </si>
  <si>
    <t>23. SQRT</t>
  </si>
  <si>
    <r>
      <t>Definition:</t>
    </r>
    <r>
      <rPr>
        <sz val="11"/>
        <color theme="1"/>
        <rFont val="Calibri"/>
        <family val="2"/>
        <scheme val="minor"/>
      </rPr>
      <t xml:space="preserve"> Returns square root.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</si>
  <si>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=SQRT(number)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</si>
  <si>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=SQRT(25)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5</t>
    </r>
  </si>
  <si>
    <t>24. VALUE</t>
  </si>
  <si>
    <r>
      <t>Definition:</t>
    </r>
    <r>
      <rPr>
        <sz val="11"/>
        <color theme="1"/>
        <rFont val="Calibri"/>
        <family val="2"/>
        <scheme val="minor"/>
      </rPr>
      <t xml:space="preserve"> Converts text to number.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</si>
  <si>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=VALUE(text)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</si>
  <si>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=VALUE("123")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123</t>
    </r>
  </si>
  <si>
    <t>25. FLOOR</t>
  </si>
  <si>
    <r>
      <t>Definition:</t>
    </r>
    <r>
      <rPr>
        <sz val="11"/>
        <color theme="1"/>
        <rFont val="Calibri"/>
        <family val="2"/>
        <scheme val="minor"/>
      </rPr>
      <t xml:space="preserve"> Rounds down to nearest multiple.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</si>
  <si>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=FLOOR(number, significance)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</si>
  <si>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=FLOOR(12.7,1)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12</t>
    </r>
  </si>
  <si>
    <t>26. CEILING</t>
  </si>
  <si>
    <r>
      <t>Definition:</t>
    </r>
    <r>
      <rPr>
        <sz val="11"/>
        <color theme="1"/>
        <rFont val="Calibri"/>
        <family val="2"/>
        <scheme val="minor"/>
      </rPr>
      <t xml:space="preserve"> Rounds up to nearest multiple.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</si>
  <si>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=CEILING(number, significance)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</si>
  <si>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=CEILING(12.7,1)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13</t>
    </r>
  </si>
  <si>
    <t>27. ROUND</t>
  </si>
  <si>
    <r>
      <t>Definition:</t>
    </r>
    <r>
      <rPr>
        <sz val="11"/>
        <color theme="1"/>
        <rFont val="Calibri"/>
        <family val="2"/>
        <scheme val="minor"/>
      </rPr>
      <t xml:space="preserve"> Rounds to specified digits.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</si>
  <si>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=ROUND(number, num_digits)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</si>
  <si>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=ROUND(12.456,2)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12.46</t>
    </r>
  </si>
  <si>
    <t>28. ISBLANK</t>
  </si>
  <si>
    <r>
      <t>Definition:</t>
    </r>
    <r>
      <rPr>
        <sz val="11"/>
        <color theme="1"/>
        <rFont val="Calibri"/>
        <family val="2"/>
        <scheme val="minor"/>
      </rPr>
      <t xml:space="preserve"> Checks if a cell is blank.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</si>
  <si>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=ISBLANK(value)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</si>
  <si>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=ISBLANK(A1)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TRUE/FALSE</t>
    </r>
  </si>
  <si>
    <t>29. TRACE PRECEDENTS (Auditing Tool)</t>
  </si>
  <si>
    <r>
      <t>Definition:</t>
    </r>
    <r>
      <rPr>
        <sz val="11"/>
        <color theme="1"/>
        <rFont val="Calibri"/>
        <family val="2"/>
        <scheme val="minor"/>
      </rPr>
      <t xml:space="preserve"> Shows arrows to cells affecting current cell.</t>
    </r>
  </si>
  <si>
    <r>
      <t>Use:</t>
    </r>
    <r>
      <rPr>
        <sz val="11"/>
        <color theme="1"/>
        <rFont val="Calibri"/>
        <family val="2"/>
        <scheme val="minor"/>
      </rPr>
      <t xml:space="preserve"> Found in </t>
    </r>
    <r>
      <rPr>
        <b/>
        <sz val="11"/>
        <color theme="1"/>
        <rFont val="Calibri"/>
        <family val="2"/>
        <scheme val="minor"/>
      </rPr>
      <t>Formulas &gt; Formula Auditing &gt; Trace Precedents</t>
    </r>
    <r>
      <rPr>
        <sz val="11"/>
        <color theme="1"/>
        <rFont val="Calibri"/>
        <family val="2"/>
        <scheme val="minor"/>
      </rPr>
      <t xml:space="preserve"> (not a formula).</t>
    </r>
  </si>
  <si>
    <t>30. TRACE DEPENDENTS (Auditing Tool)</t>
  </si>
  <si>
    <r>
      <t>Definition:</t>
    </r>
    <r>
      <rPr>
        <sz val="11"/>
        <color theme="1"/>
        <rFont val="Calibri"/>
        <family val="2"/>
        <scheme val="minor"/>
      </rPr>
      <t xml:space="preserve"> Shows arrows to cells affected by current cell.</t>
    </r>
  </si>
  <si>
    <r>
      <t>Use:</t>
    </r>
    <r>
      <rPr>
        <sz val="11"/>
        <color theme="1"/>
        <rFont val="Calibri"/>
        <family val="2"/>
        <scheme val="minor"/>
      </rPr>
      <t xml:space="preserve"> Found in </t>
    </r>
    <r>
      <rPr>
        <b/>
        <sz val="11"/>
        <color theme="1"/>
        <rFont val="Calibri"/>
        <family val="2"/>
        <scheme val="minor"/>
      </rPr>
      <t>Formulas &gt; Formula Auditing &gt; Trace Dependents</t>
    </r>
    <r>
      <rPr>
        <sz val="11"/>
        <color theme="1"/>
        <rFont val="Calibri"/>
        <family val="2"/>
        <scheme val="minor"/>
      </rPr>
      <t xml:space="preserve"> (not a formula).</t>
    </r>
  </si>
  <si>
    <t>31. LARGE</t>
  </si>
  <si>
    <r>
      <t>Definition:</t>
    </r>
    <r>
      <rPr>
        <sz val="11"/>
        <color theme="1"/>
        <rFont val="Calibri"/>
        <family val="2"/>
        <scheme val="minor"/>
      </rPr>
      <t xml:space="preserve"> Returns nth largest value.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</si>
  <si>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=LARGE(array, k)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</si>
  <si>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=LARGE(A1:A10,2)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2nd largest</t>
    </r>
  </si>
  <si>
    <t>32. SMALL</t>
  </si>
  <si>
    <r>
      <t>Definition:</t>
    </r>
    <r>
      <rPr>
        <sz val="11"/>
        <color theme="1"/>
        <rFont val="Calibri"/>
        <family val="2"/>
        <scheme val="minor"/>
      </rPr>
      <t xml:space="preserve"> Returns nth smallest value.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</si>
  <si>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=SMALL(array, k)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</si>
  <si>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=SMALL(A1:A10,2)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2nd smallest</t>
    </r>
  </si>
  <si>
    <t>33. ROW</t>
  </si>
  <si>
    <r>
      <t>Definition:</t>
    </r>
    <r>
      <rPr>
        <sz val="11"/>
        <color theme="1"/>
        <rFont val="Calibri"/>
        <family val="2"/>
        <scheme val="minor"/>
      </rPr>
      <t xml:space="preserve"> Returns row number.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</si>
  <si>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=ROW(reference)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</si>
  <si>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=ROW(A5)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5</t>
    </r>
  </si>
  <si>
    <t>34. ROWS</t>
  </si>
  <si>
    <r>
      <t>Definition:</t>
    </r>
    <r>
      <rPr>
        <sz val="11"/>
        <color theme="1"/>
        <rFont val="Calibri"/>
        <family val="2"/>
        <scheme val="minor"/>
      </rPr>
      <t xml:space="preserve"> Returns number of rows in a range.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</si>
  <si>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=ROWS(array)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</si>
  <si>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=ROWS(A1:A10)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10</t>
    </r>
  </si>
  <si>
    <t>35. COLUMNS</t>
  </si>
  <si>
    <r>
      <t>Definition:</t>
    </r>
    <r>
      <rPr>
        <sz val="11"/>
        <color theme="1"/>
        <rFont val="Calibri"/>
        <family val="2"/>
        <scheme val="minor"/>
      </rPr>
      <t xml:space="preserve"> Returns number of columns in a range.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</si>
  <si>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=COLUMNS(array)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</si>
  <si>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=COLUMNS(A1:D1)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4</t>
    </r>
  </si>
  <si>
    <t>36. COLUMN</t>
  </si>
  <si>
    <r>
      <t>Definition:</t>
    </r>
    <r>
      <rPr>
        <sz val="11"/>
        <color theme="1"/>
        <rFont val="Calibri"/>
        <family val="2"/>
        <scheme val="minor"/>
      </rPr>
      <t xml:space="preserve"> Returns column number.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</si>
  <si>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=COLUMN(reference)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</si>
  <si>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=COLUMN(C1)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</t>
    </r>
  </si>
  <si>
    <t>37. FIND</t>
  </si>
  <si>
    <r>
      <t>Definition:</t>
    </r>
    <r>
      <rPr>
        <sz val="11"/>
        <color theme="1"/>
        <rFont val="Calibri"/>
        <family val="2"/>
        <scheme val="minor"/>
      </rPr>
      <t xml:space="preserve"> Finds text (case-sensitive).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</si>
  <si>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=FIND(find_text, within_text, [start_num])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</si>
  <si>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=FIND("c","Excel")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</t>
    </r>
  </si>
  <si>
    <t>38. SEARCH</t>
  </si>
  <si>
    <r>
      <t>Definition:</t>
    </r>
    <r>
      <rPr>
        <sz val="11"/>
        <color theme="1"/>
        <rFont val="Calibri"/>
        <family val="2"/>
        <scheme val="minor"/>
      </rPr>
      <t xml:space="preserve"> Finds text (case-insensitive).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</si>
  <si>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=SEARCH(find_text, within_text, [start_num])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</si>
  <si>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=SEARCH("C","Excel")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</t>
    </r>
  </si>
  <si>
    <t>39. IFERROR</t>
  </si>
  <si>
    <r>
      <t>Definition:</t>
    </r>
    <r>
      <rPr>
        <sz val="11"/>
        <color theme="1"/>
        <rFont val="Calibri"/>
        <family val="2"/>
        <scheme val="minor"/>
      </rPr>
      <t xml:space="preserve"> Returns custom value if formula gives error.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</si>
  <si>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=IFERROR(value, value_if_error)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</si>
  <si>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=IFERROR(5/0,"Error")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"Error"</t>
    </r>
  </si>
  <si>
    <t>40. ISERROR</t>
  </si>
  <si>
    <r>
      <t>Definition:</t>
    </r>
    <r>
      <rPr>
        <sz val="11"/>
        <color theme="1"/>
        <rFont val="Calibri"/>
        <family val="2"/>
        <scheme val="minor"/>
      </rPr>
      <t xml:space="preserve"> Returns TRUE if cell has an error.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</si>
  <si>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=ISERROR(value)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</si>
  <si>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=ISERROR(5/0)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</t>
    </r>
  </si>
  <si>
    <t>41. ISODD</t>
  </si>
  <si>
    <r>
      <t>Definition:</t>
    </r>
    <r>
      <rPr>
        <sz val="11"/>
        <color theme="1"/>
        <rFont val="Calibri"/>
        <family val="2"/>
        <scheme val="minor"/>
      </rPr>
      <t xml:space="preserve"> Checks if number is odd.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</si>
  <si>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=ISODD(number)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</si>
  <si>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=ISODD(7)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</t>
    </r>
  </si>
  <si>
    <t>42. ISEVEN</t>
  </si>
  <si>
    <r>
      <t>Definition:</t>
    </r>
    <r>
      <rPr>
        <sz val="11"/>
        <color theme="1"/>
        <rFont val="Calibri"/>
        <family val="2"/>
        <scheme val="minor"/>
      </rPr>
      <t xml:space="preserve"> Checks if number is even.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</si>
  <si>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=ISEVEN(number)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</si>
  <si>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=ISEVEN(8)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</t>
    </r>
  </si>
  <si>
    <t>43. ISTEXT</t>
  </si>
  <si>
    <r>
      <t>Definition:</t>
    </r>
    <r>
      <rPr>
        <sz val="11"/>
        <color theme="1"/>
        <rFont val="Calibri"/>
        <family val="2"/>
        <scheme val="minor"/>
      </rPr>
      <t xml:space="preserve"> Checks if value is text.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</si>
  <si>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=ISTEXT(value)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</si>
  <si>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=ISTEXT("Excel")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</t>
    </r>
  </si>
  <si>
    <t>44. ISNONTEXT</t>
  </si>
  <si>
    <r>
      <t>Definition:</t>
    </r>
    <r>
      <rPr>
        <sz val="11"/>
        <color theme="1"/>
        <rFont val="Calibri"/>
        <family val="2"/>
        <scheme val="minor"/>
      </rPr>
      <t xml:space="preserve"> Checks if value is NOT text.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</si>
  <si>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=ISNONTEXT(value)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</si>
  <si>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=ISNONTEXT(123)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</t>
    </r>
  </si>
  <si>
    <t>45. N</t>
  </si>
  <si>
    <r>
      <t>Definition:</t>
    </r>
    <r>
      <rPr>
        <sz val="11"/>
        <color theme="1"/>
        <rFont val="Calibri"/>
        <family val="2"/>
        <scheme val="minor"/>
      </rPr>
      <t xml:space="preserve"> Converts value to number (TRUE=1, FALSE=0).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</si>
  <si>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=N(value)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</si>
  <si>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=N(TRUE)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</t>
    </r>
  </si>
  <si>
    <t>46. NA</t>
  </si>
  <si>
    <r>
      <t>Definition:</t>
    </r>
    <r>
      <rPr>
        <sz val="11"/>
        <color theme="1"/>
        <rFont val="Calibri"/>
        <family val="2"/>
        <scheme val="minor"/>
      </rPr>
      <t xml:space="preserve"> Returns #N/A error.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</si>
  <si>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=NA()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</si>
  <si>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=NA()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#N/A</t>
    </r>
  </si>
  <si>
    <t>47. ISNA</t>
  </si>
  <si>
    <r>
      <t>Definition:</t>
    </r>
    <r>
      <rPr>
        <sz val="11"/>
        <color theme="1"/>
        <rFont val="Calibri"/>
        <family val="2"/>
        <scheme val="minor"/>
      </rPr>
      <t xml:space="preserve"> Checks if value is #N/A.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</si>
  <si>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=ISNA(value)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</si>
  <si>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=ISNA(NA())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</t>
    </r>
  </si>
  <si>
    <t>48. IFNA</t>
  </si>
  <si>
    <r>
      <t>Definition:</t>
    </r>
    <r>
      <rPr>
        <sz val="11"/>
        <color theme="1"/>
        <rFont val="Calibri"/>
        <family val="2"/>
        <scheme val="minor"/>
      </rPr>
      <t xml:space="preserve"> Returns custom value if formula gives #N/A error.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</si>
  <si>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=IFNA(value, value_if_na)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</si>
  <si>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=IFNA(VLOOKUP(5,A1:B10,2,FALSE),"Not Found")</t>
    </r>
  </si>
  <si>
    <t>49. ISLOGICAL</t>
  </si>
  <si>
    <r>
      <t>Definition:</t>
    </r>
    <r>
      <rPr>
        <sz val="11"/>
        <color theme="1"/>
        <rFont val="Calibri"/>
        <family val="2"/>
        <scheme val="minor"/>
      </rPr>
      <t xml:space="preserve"> Checks if value is TRUE or FALSE.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</si>
  <si>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=ISLOGICAL(value)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</si>
  <si>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=ISLOGICAL(TRUE)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</t>
    </r>
  </si>
  <si>
    <t>50. ISERROR ✅ (already explained in 40)</t>
  </si>
  <si>
    <t>Same as above.</t>
  </si>
  <si>
    <t>51. ISREF</t>
  </si>
  <si>
    <r>
      <t>Definition:</t>
    </r>
    <r>
      <rPr>
        <sz val="11"/>
        <color theme="1"/>
        <rFont val="Calibri"/>
        <family val="2"/>
        <scheme val="minor"/>
      </rPr>
      <t xml:space="preserve"> Checks if value is a reference.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</si>
  <si>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=ISREF(value)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</si>
  <si>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=ISREF(A1)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</t>
    </r>
  </si>
  <si>
    <t>52. ISFORMULA</t>
  </si>
  <si>
    <r>
      <t>Definition:</t>
    </r>
    <r>
      <rPr>
        <sz val="11"/>
        <color theme="1"/>
        <rFont val="Calibri"/>
        <family val="2"/>
        <scheme val="minor"/>
      </rPr>
      <t xml:space="preserve"> Checks if a cell contains a formula.</t>
    </r>
  </si>
  <si>
    <r>
      <t>Formula: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=ISFORMULA(reference)</t>
    </r>
  </si>
  <si>
    <r>
      <t>Example: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=ISFORMULA(A1)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TRUE/FALSE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</si>
</sst>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AEABAB"/>
        <bgColor indexed="64"/>
      </patternFill>
    </fill>
    <fill>
      <patternFill patternType="solid">
        <fgColor rgb="FF54813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4B08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/>
    <xf numFmtId="0" fontId="0" fillId="0" borderId="1" xfId="0" quotePrefix="1" applyBorder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/>
    <xf numFmtId="0" fontId="4" fillId="7" borderId="1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 wrapText="1"/>
    </xf>
    <xf numFmtId="0" fontId="1" fillId="9" borderId="11" xfId="0" applyFont="1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/>
    <xf numFmtId="0" fontId="1" fillId="10" borderId="15" xfId="0" applyFont="1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0" fontId="1" fillId="11" borderId="10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8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quotePrefix="1" applyBorder="1" applyAlignment="1">
      <alignment horizontal="center" vertical="center"/>
    </xf>
    <xf numFmtId="0" fontId="1" fillId="13" borderId="10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 wrapText="1"/>
    </xf>
    <xf numFmtId="0" fontId="1" fillId="11" borderId="11" xfId="0" applyFont="1" applyFill="1" applyBorder="1" applyAlignment="1">
      <alignment horizontal="center" wrapText="1"/>
    </xf>
    <xf numFmtId="18" fontId="0" fillId="0" borderId="13" xfId="0" applyNumberFormat="1" applyBorder="1" applyAlignment="1">
      <alignment horizontal="center"/>
    </xf>
    <xf numFmtId="0" fontId="0" fillId="5" borderId="18" xfId="0" applyFill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!@#$%" TargetMode="External"/><Relationship Id="rId2" Type="http://schemas.openxmlformats.org/officeDocument/2006/relationships/hyperlink" Target="mailto:!@#" TargetMode="External"/><Relationship Id="rId1" Type="http://schemas.openxmlformats.org/officeDocument/2006/relationships/hyperlink" Target="mailto: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4"/>
  <sheetViews>
    <sheetView showGridLines="0" tabSelected="1" workbookViewId="0">
      <selection activeCell="F19" sqref="F19"/>
    </sheetView>
  </sheetViews>
  <sheetFormatPr defaultRowHeight="14.4"/>
  <cols>
    <col min="2" max="2" width="4.88671875" bestFit="1" customWidth="1"/>
    <col min="3" max="3" width="15.33203125" bestFit="1" customWidth="1"/>
  </cols>
  <sheetData>
    <row r="2" spans="2:3">
      <c r="B2" s="7" t="s">
        <v>199</v>
      </c>
      <c r="C2" s="7" t="s">
        <v>50</v>
      </c>
    </row>
    <row r="3" spans="2:3">
      <c r="B3" s="7">
        <v>1</v>
      </c>
      <c r="C3" s="7" t="s">
        <v>0</v>
      </c>
    </row>
    <row r="4" spans="2:3">
      <c r="B4" s="7">
        <f>B3+1</f>
        <v>2</v>
      </c>
      <c r="C4" s="7" t="s">
        <v>1</v>
      </c>
    </row>
    <row r="5" spans="2:3">
      <c r="B5" s="7">
        <f t="shared" ref="B5:B54" si="0">B4+1</f>
        <v>3</v>
      </c>
      <c r="C5" s="7" t="s">
        <v>2</v>
      </c>
    </row>
    <row r="6" spans="2:3">
      <c r="B6" s="7">
        <f t="shared" si="0"/>
        <v>4</v>
      </c>
      <c r="C6" s="7" t="s">
        <v>3</v>
      </c>
    </row>
    <row r="7" spans="2:3">
      <c r="B7" s="7">
        <f t="shared" si="0"/>
        <v>5</v>
      </c>
      <c r="C7" s="7" t="s">
        <v>4</v>
      </c>
    </row>
    <row r="8" spans="2:3">
      <c r="B8" s="7">
        <f t="shared" si="0"/>
        <v>6</v>
      </c>
      <c r="C8" s="7" t="s">
        <v>5</v>
      </c>
    </row>
    <row r="9" spans="2:3">
      <c r="B9" s="7">
        <f t="shared" si="0"/>
        <v>7</v>
      </c>
      <c r="C9" s="7" t="s">
        <v>6</v>
      </c>
    </row>
    <row r="10" spans="2:3">
      <c r="B10" s="7">
        <f t="shared" si="0"/>
        <v>8</v>
      </c>
      <c r="C10" s="7" t="s">
        <v>7</v>
      </c>
    </row>
    <row r="11" spans="2:3">
      <c r="B11" s="7">
        <f t="shared" si="0"/>
        <v>9</v>
      </c>
      <c r="C11" s="7" t="s">
        <v>8</v>
      </c>
    </row>
    <row r="12" spans="2:3">
      <c r="B12" s="7">
        <f t="shared" si="0"/>
        <v>10</v>
      </c>
      <c r="C12" s="7" t="s">
        <v>9</v>
      </c>
    </row>
    <row r="13" spans="2:3">
      <c r="B13" s="7">
        <f t="shared" si="0"/>
        <v>11</v>
      </c>
      <c r="C13" s="7" t="s">
        <v>10</v>
      </c>
    </row>
    <row r="14" spans="2:3">
      <c r="B14" s="7">
        <f t="shared" si="0"/>
        <v>12</v>
      </c>
      <c r="C14" s="7" t="s">
        <v>11</v>
      </c>
    </row>
    <row r="15" spans="2:3">
      <c r="B15" s="7">
        <f t="shared" si="0"/>
        <v>13</v>
      </c>
      <c r="C15" s="7" t="s">
        <v>12</v>
      </c>
    </row>
    <row r="16" spans="2:3">
      <c r="B16" s="7">
        <f t="shared" si="0"/>
        <v>14</v>
      </c>
      <c r="C16" s="7" t="s">
        <v>13</v>
      </c>
    </row>
    <row r="17" spans="2:3">
      <c r="B17" s="7">
        <f t="shared" si="0"/>
        <v>15</v>
      </c>
      <c r="C17" s="7" t="s">
        <v>14</v>
      </c>
    </row>
    <row r="18" spans="2:3">
      <c r="B18" s="7">
        <f t="shared" si="0"/>
        <v>16</v>
      </c>
      <c r="C18" s="7" t="s">
        <v>15</v>
      </c>
    </row>
    <row r="19" spans="2:3">
      <c r="B19" s="7">
        <f t="shared" si="0"/>
        <v>17</v>
      </c>
      <c r="C19" s="7" t="s">
        <v>16</v>
      </c>
    </row>
    <row r="20" spans="2:3">
      <c r="B20" s="7">
        <f t="shared" si="0"/>
        <v>18</v>
      </c>
      <c r="C20" s="7" t="s">
        <v>17</v>
      </c>
    </row>
    <row r="21" spans="2:3">
      <c r="B21" s="7">
        <f t="shared" si="0"/>
        <v>19</v>
      </c>
      <c r="C21" s="7" t="s">
        <v>18</v>
      </c>
    </row>
    <row r="22" spans="2:3">
      <c r="B22" s="7">
        <f t="shared" si="0"/>
        <v>20</v>
      </c>
      <c r="C22" s="7" t="s">
        <v>19</v>
      </c>
    </row>
    <row r="23" spans="2:3">
      <c r="B23" s="7">
        <f t="shared" si="0"/>
        <v>21</v>
      </c>
      <c r="C23" s="7" t="s">
        <v>202</v>
      </c>
    </row>
    <row r="24" spans="2:3">
      <c r="B24" s="7">
        <f t="shared" si="0"/>
        <v>22</v>
      </c>
      <c r="C24" s="7" t="s">
        <v>20</v>
      </c>
    </row>
    <row r="25" spans="2:3">
      <c r="B25" s="7">
        <f t="shared" si="0"/>
        <v>23</v>
      </c>
      <c r="C25" s="7" t="s">
        <v>21</v>
      </c>
    </row>
    <row r="26" spans="2:3">
      <c r="B26" s="7">
        <f t="shared" si="0"/>
        <v>24</v>
      </c>
      <c r="C26" s="7" t="s">
        <v>22</v>
      </c>
    </row>
    <row r="27" spans="2:3">
      <c r="B27" s="7">
        <f t="shared" si="0"/>
        <v>25</v>
      </c>
      <c r="C27" s="7" t="s">
        <v>23</v>
      </c>
    </row>
    <row r="28" spans="2:3">
      <c r="B28" s="7">
        <f t="shared" si="0"/>
        <v>26</v>
      </c>
      <c r="C28" s="7" t="s">
        <v>24</v>
      </c>
    </row>
    <row r="29" spans="2:3">
      <c r="B29" s="7">
        <f t="shared" si="0"/>
        <v>27</v>
      </c>
      <c r="C29" s="7" t="s">
        <v>25</v>
      </c>
    </row>
    <row r="30" spans="2:3">
      <c r="B30" s="7">
        <f t="shared" si="0"/>
        <v>28</v>
      </c>
      <c r="C30" s="7" t="s">
        <v>26</v>
      </c>
    </row>
    <row r="31" spans="2:3">
      <c r="B31" s="7">
        <f t="shared" si="0"/>
        <v>29</v>
      </c>
      <c r="C31" s="7" t="s">
        <v>27</v>
      </c>
    </row>
    <row r="32" spans="2:3">
      <c r="B32" s="7">
        <f t="shared" si="0"/>
        <v>30</v>
      </c>
      <c r="C32" s="7" t="s">
        <v>28</v>
      </c>
    </row>
    <row r="33" spans="2:3">
      <c r="B33" s="7">
        <f t="shared" si="0"/>
        <v>31</v>
      </c>
      <c r="C33" s="7" t="s">
        <v>29</v>
      </c>
    </row>
    <row r="34" spans="2:3">
      <c r="B34" s="7">
        <f t="shared" si="0"/>
        <v>32</v>
      </c>
      <c r="C34" s="7" t="s">
        <v>30</v>
      </c>
    </row>
    <row r="35" spans="2:3">
      <c r="B35" s="7">
        <f t="shared" si="0"/>
        <v>33</v>
      </c>
      <c r="C35" s="7" t="s">
        <v>31</v>
      </c>
    </row>
    <row r="36" spans="2:3">
      <c r="B36" s="7">
        <f t="shared" si="0"/>
        <v>34</v>
      </c>
      <c r="C36" s="7" t="s">
        <v>32</v>
      </c>
    </row>
    <row r="37" spans="2:3">
      <c r="B37" s="7">
        <f t="shared" si="0"/>
        <v>35</v>
      </c>
      <c r="C37" s="7" t="s">
        <v>33</v>
      </c>
    </row>
    <row r="38" spans="2:3">
      <c r="B38" s="7">
        <f t="shared" si="0"/>
        <v>36</v>
      </c>
      <c r="C38" s="7" t="s">
        <v>34</v>
      </c>
    </row>
    <row r="39" spans="2:3">
      <c r="B39" s="7">
        <f t="shared" si="0"/>
        <v>37</v>
      </c>
      <c r="C39" s="7" t="s">
        <v>35</v>
      </c>
    </row>
    <row r="40" spans="2:3">
      <c r="B40" s="7">
        <f t="shared" si="0"/>
        <v>38</v>
      </c>
      <c r="C40" s="7" t="s">
        <v>36</v>
      </c>
    </row>
    <row r="41" spans="2:3">
      <c r="B41" s="7">
        <f t="shared" si="0"/>
        <v>39</v>
      </c>
      <c r="C41" s="7" t="s">
        <v>37</v>
      </c>
    </row>
    <row r="42" spans="2:3">
      <c r="B42" s="7">
        <f t="shared" si="0"/>
        <v>40</v>
      </c>
      <c r="C42" s="7" t="s">
        <v>38</v>
      </c>
    </row>
    <row r="43" spans="2:3">
      <c r="B43" s="7">
        <f t="shared" si="0"/>
        <v>41</v>
      </c>
      <c r="C43" s="7" t="s">
        <v>39</v>
      </c>
    </row>
    <row r="44" spans="2:3">
      <c r="B44" s="7">
        <f t="shared" si="0"/>
        <v>42</v>
      </c>
      <c r="C44" s="7" t="s">
        <v>40</v>
      </c>
    </row>
    <row r="45" spans="2:3">
      <c r="B45" s="7">
        <f t="shared" si="0"/>
        <v>43</v>
      </c>
      <c r="C45" s="7" t="s">
        <v>41</v>
      </c>
    </row>
    <row r="46" spans="2:3">
      <c r="B46" s="7">
        <f t="shared" si="0"/>
        <v>44</v>
      </c>
      <c r="C46" s="7" t="s">
        <v>42</v>
      </c>
    </row>
    <row r="47" spans="2:3">
      <c r="B47" s="7">
        <f t="shared" si="0"/>
        <v>45</v>
      </c>
      <c r="C47" s="7" t="s">
        <v>43</v>
      </c>
    </row>
    <row r="48" spans="2:3">
      <c r="B48" s="7">
        <f t="shared" si="0"/>
        <v>46</v>
      </c>
      <c r="C48" s="7" t="s">
        <v>44</v>
      </c>
    </row>
    <row r="49" spans="2:3">
      <c r="B49" s="7">
        <f t="shared" si="0"/>
        <v>47</v>
      </c>
      <c r="C49" s="7" t="s">
        <v>45</v>
      </c>
    </row>
    <row r="50" spans="2:3">
      <c r="B50" s="7">
        <f t="shared" si="0"/>
        <v>48</v>
      </c>
      <c r="C50" s="7" t="s">
        <v>46</v>
      </c>
    </row>
    <row r="51" spans="2:3">
      <c r="B51" s="7">
        <f t="shared" si="0"/>
        <v>49</v>
      </c>
      <c r="C51" s="7" t="s">
        <v>47</v>
      </c>
    </row>
    <row r="52" spans="2:3">
      <c r="B52" s="7">
        <f t="shared" si="0"/>
        <v>50</v>
      </c>
      <c r="C52" s="7" t="s">
        <v>38</v>
      </c>
    </row>
    <row r="53" spans="2:3">
      <c r="B53" s="7">
        <f t="shared" si="0"/>
        <v>51</v>
      </c>
      <c r="C53" s="7" t="s">
        <v>48</v>
      </c>
    </row>
    <row r="54" spans="2:3">
      <c r="B54" s="7">
        <f t="shared" si="0"/>
        <v>52</v>
      </c>
      <c r="C54" s="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1079-0F97-4A7F-A7A4-4E568214BB2C}">
  <dimension ref="C2:L207"/>
  <sheetViews>
    <sheetView showGridLines="0" workbookViewId="0">
      <selection activeCell="I10" sqref="I10"/>
    </sheetView>
  </sheetViews>
  <sheetFormatPr defaultRowHeight="14.4"/>
  <sheetData>
    <row r="2" spans="3:12">
      <c r="C2" t="s">
        <v>204</v>
      </c>
    </row>
    <row r="5" spans="3:12" ht="18">
      <c r="C5" s="61" t="s">
        <v>205</v>
      </c>
      <c r="L5" s="61" t="s">
        <v>309</v>
      </c>
    </row>
    <row r="6" spans="3:12">
      <c r="C6" s="62"/>
      <c r="L6" s="62"/>
    </row>
    <row r="7" spans="3:12">
      <c r="C7" s="63" t="s">
        <v>206</v>
      </c>
      <c r="L7" s="63" t="s">
        <v>310</v>
      </c>
    </row>
    <row r="8" spans="3:12">
      <c r="C8" s="63" t="s">
        <v>207</v>
      </c>
      <c r="L8" s="63" t="s">
        <v>311</v>
      </c>
    </row>
    <row r="9" spans="3:12">
      <c r="C9" s="63" t="s">
        <v>208</v>
      </c>
      <c r="L9" s="63" t="s">
        <v>312</v>
      </c>
    </row>
    <row r="10" spans="3:12">
      <c r="C10" s="62"/>
    </row>
    <row r="13" spans="3:12" ht="18">
      <c r="C13" s="61" t="s">
        <v>209</v>
      </c>
      <c r="L13" s="61" t="s">
        <v>313</v>
      </c>
    </row>
    <row r="14" spans="3:12">
      <c r="C14" s="62"/>
      <c r="L14" s="62"/>
    </row>
    <row r="15" spans="3:12">
      <c r="C15" s="63" t="s">
        <v>210</v>
      </c>
      <c r="L15" s="63" t="s">
        <v>314</v>
      </c>
    </row>
    <row r="16" spans="3:12">
      <c r="C16" s="63" t="s">
        <v>211</v>
      </c>
      <c r="L16" s="63" t="s">
        <v>315</v>
      </c>
    </row>
    <row r="17" spans="3:12">
      <c r="C17" s="63" t="s">
        <v>212</v>
      </c>
      <c r="L17" s="63" t="s">
        <v>316</v>
      </c>
    </row>
    <row r="21" spans="3:12" ht="18">
      <c r="C21" s="61" t="s">
        <v>213</v>
      </c>
      <c r="L21" s="61" t="s">
        <v>317</v>
      </c>
    </row>
    <row r="22" spans="3:12">
      <c r="C22" s="62"/>
      <c r="L22" s="62"/>
    </row>
    <row r="23" spans="3:12">
      <c r="C23" s="63" t="s">
        <v>214</v>
      </c>
      <c r="L23" s="63" t="s">
        <v>318</v>
      </c>
    </row>
    <row r="24" spans="3:12">
      <c r="C24" s="63" t="s">
        <v>215</v>
      </c>
      <c r="L24" s="63" t="s">
        <v>319</v>
      </c>
    </row>
    <row r="25" spans="3:12">
      <c r="C25" s="63" t="s">
        <v>216</v>
      </c>
    </row>
    <row r="26" spans="3:12">
      <c r="C26" s="62"/>
    </row>
    <row r="29" spans="3:12" ht="18">
      <c r="C29" s="61" t="s">
        <v>217</v>
      </c>
      <c r="L29" s="61" t="s">
        <v>320</v>
      </c>
    </row>
    <row r="30" spans="3:12">
      <c r="C30" s="62"/>
      <c r="L30" s="62"/>
    </row>
    <row r="31" spans="3:12">
      <c r="C31" s="63" t="s">
        <v>218</v>
      </c>
      <c r="L31" s="63" t="s">
        <v>321</v>
      </c>
    </row>
    <row r="32" spans="3:12">
      <c r="C32" s="63" t="s">
        <v>219</v>
      </c>
      <c r="L32" s="63" t="s">
        <v>322</v>
      </c>
    </row>
    <row r="33" spans="3:12">
      <c r="C33" s="63" t="s">
        <v>220</v>
      </c>
    </row>
    <row r="37" spans="3:12" ht="18">
      <c r="C37" s="61" t="s">
        <v>221</v>
      </c>
      <c r="L37" s="61" t="s">
        <v>323</v>
      </c>
    </row>
    <row r="38" spans="3:12">
      <c r="C38" s="62"/>
      <c r="L38" s="62"/>
    </row>
    <row r="39" spans="3:12">
      <c r="C39" s="63" t="s">
        <v>222</v>
      </c>
      <c r="L39" s="63" t="s">
        <v>324</v>
      </c>
    </row>
    <row r="40" spans="3:12">
      <c r="C40" s="63" t="s">
        <v>223</v>
      </c>
      <c r="L40" s="63" t="s">
        <v>325</v>
      </c>
    </row>
    <row r="41" spans="3:12">
      <c r="C41" s="63" t="s">
        <v>224</v>
      </c>
      <c r="L41" s="63" t="s">
        <v>326</v>
      </c>
    </row>
    <row r="45" spans="3:12" ht="18">
      <c r="C45" s="61" t="s">
        <v>225</v>
      </c>
      <c r="L45" s="61" t="s">
        <v>327</v>
      </c>
    </row>
    <row r="46" spans="3:12">
      <c r="C46" s="62"/>
      <c r="L46" s="62"/>
    </row>
    <row r="47" spans="3:12">
      <c r="C47" s="63" t="s">
        <v>226</v>
      </c>
      <c r="L47" s="63" t="s">
        <v>328</v>
      </c>
    </row>
    <row r="48" spans="3:12">
      <c r="C48" s="63" t="s">
        <v>227</v>
      </c>
      <c r="L48" s="63" t="s">
        <v>329</v>
      </c>
    </row>
    <row r="49" spans="3:12">
      <c r="C49" s="63" t="s">
        <v>228</v>
      </c>
      <c r="L49" s="63" t="s">
        <v>330</v>
      </c>
    </row>
    <row r="53" spans="3:12" ht="18">
      <c r="C53" s="61" t="s">
        <v>229</v>
      </c>
      <c r="L53" s="61" t="s">
        <v>331</v>
      </c>
    </row>
    <row r="54" spans="3:12">
      <c r="C54" s="62"/>
      <c r="L54" s="62"/>
    </row>
    <row r="55" spans="3:12">
      <c r="C55" s="63" t="s">
        <v>230</v>
      </c>
      <c r="L55" s="63" t="s">
        <v>332</v>
      </c>
    </row>
    <row r="56" spans="3:12">
      <c r="C56" s="63" t="s">
        <v>231</v>
      </c>
      <c r="L56" s="63" t="s">
        <v>333</v>
      </c>
    </row>
    <row r="57" spans="3:12">
      <c r="C57" s="63" t="s">
        <v>232</v>
      </c>
      <c r="L57" s="63" t="s">
        <v>334</v>
      </c>
    </row>
    <row r="61" spans="3:12" ht="18">
      <c r="C61" s="61" t="s">
        <v>233</v>
      </c>
      <c r="L61" s="61" t="s">
        <v>335</v>
      </c>
    </row>
    <row r="62" spans="3:12">
      <c r="C62" s="62"/>
      <c r="L62" s="62"/>
    </row>
    <row r="63" spans="3:12">
      <c r="C63" s="63" t="s">
        <v>234</v>
      </c>
      <c r="L63" s="63" t="s">
        <v>336</v>
      </c>
    </row>
    <row r="64" spans="3:12">
      <c r="C64" s="63" t="s">
        <v>235</v>
      </c>
      <c r="L64" s="63" t="s">
        <v>337</v>
      </c>
    </row>
    <row r="65" spans="3:12">
      <c r="C65" s="63" t="s">
        <v>236</v>
      </c>
      <c r="L65" s="63" t="s">
        <v>338</v>
      </c>
    </row>
    <row r="69" spans="3:12" ht="18">
      <c r="C69" s="61" t="s">
        <v>237</v>
      </c>
      <c r="L69" s="61" t="s">
        <v>339</v>
      </c>
    </row>
    <row r="70" spans="3:12">
      <c r="C70" s="62"/>
      <c r="L70" s="62"/>
    </row>
    <row r="71" spans="3:12">
      <c r="C71" s="63" t="s">
        <v>238</v>
      </c>
      <c r="L71" s="63" t="s">
        <v>340</v>
      </c>
    </row>
    <row r="72" spans="3:12">
      <c r="C72" s="63" t="s">
        <v>239</v>
      </c>
      <c r="L72" s="63" t="s">
        <v>341</v>
      </c>
    </row>
    <row r="73" spans="3:12">
      <c r="C73" s="63" t="s">
        <v>240</v>
      </c>
      <c r="L73" s="63" t="s">
        <v>342</v>
      </c>
    </row>
    <row r="77" spans="3:12" ht="18">
      <c r="C77" s="61" t="s">
        <v>241</v>
      </c>
      <c r="L77" s="61" t="s">
        <v>343</v>
      </c>
    </row>
    <row r="78" spans="3:12">
      <c r="C78" s="62"/>
      <c r="L78" s="62"/>
    </row>
    <row r="79" spans="3:12">
      <c r="C79" s="63" t="s">
        <v>242</v>
      </c>
      <c r="L79" s="63" t="s">
        <v>344</v>
      </c>
    </row>
    <row r="80" spans="3:12">
      <c r="C80" s="63" t="s">
        <v>243</v>
      </c>
      <c r="L80" s="63" t="s">
        <v>345</v>
      </c>
    </row>
    <row r="81" spans="3:12">
      <c r="C81" s="63" t="s">
        <v>244</v>
      </c>
      <c r="L81" s="63" t="s">
        <v>346</v>
      </c>
    </row>
    <row r="85" spans="3:12" ht="18">
      <c r="C85" s="61" t="s">
        <v>245</v>
      </c>
      <c r="L85" s="61" t="s">
        <v>347</v>
      </c>
    </row>
    <row r="86" spans="3:12">
      <c r="C86" s="62"/>
      <c r="L86" s="62"/>
    </row>
    <row r="87" spans="3:12">
      <c r="C87" s="63" t="s">
        <v>246</v>
      </c>
      <c r="L87" s="63" t="s">
        <v>348</v>
      </c>
    </row>
    <row r="88" spans="3:12">
      <c r="C88" s="63" t="s">
        <v>247</v>
      </c>
      <c r="L88" s="63" t="s">
        <v>349</v>
      </c>
    </row>
    <row r="89" spans="3:12">
      <c r="C89" s="63" t="s">
        <v>248</v>
      </c>
      <c r="L89" s="63" t="s">
        <v>350</v>
      </c>
    </row>
    <row r="93" spans="3:12" ht="18">
      <c r="C93" s="61" t="s">
        <v>249</v>
      </c>
      <c r="L93" s="61" t="s">
        <v>351</v>
      </c>
    </row>
    <row r="94" spans="3:12">
      <c r="C94" s="62"/>
      <c r="L94" s="62"/>
    </row>
    <row r="95" spans="3:12">
      <c r="C95" s="63" t="s">
        <v>250</v>
      </c>
      <c r="L95" s="63" t="s">
        <v>352</v>
      </c>
    </row>
    <row r="96" spans="3:12">
      <c r="C96" s="63" t="s">
        <v>251</v>
      </c>
      <c r="L96" s="63" t="s">
        <v>353</v>
      </c>
    </row>
    <row r="97" spans="3:12">
      <c r="C97" s="63" t="s">
        <v>252</v>
      </c>
      <c r="L97" s="63" t="s">
        <v>354</v>
      </c>
    </row>
    <row r="101" spans="3:12" ht="18">
      <c r="C101" s="61" t="s">
        <v>253</v>
      </c>
      <c r="L101" s="61" t="s">
        <v>355</v>
      </c>
    </row>
    <row r="102" spans="3:12">
      <c r="C102" s="62"/>
      <c r="L102" s="62"/>
    </row>
    <row r="103" spans="3:12">
      <c r="C103" s="63" t="s">
        <v>254</v>
      </c>
      <c r="L103" s="63" t="s">
        <v>356</v>
      </c>
    </row>
    <row r="104" spans="3:12">
      <c r="C104" s="63" t="s">
        <v>255</v>
      </c>
      <c r="L104" s="63" t="s">
        <v>357</v>
      </c>
    </row>
    <row r="105" spans="3:12">
      <c r="C105" s="63" t="s">
        <v>256</v>
      </c>
      <c r="L105" s="63" t="s">
        <v>358</v>
      </c>
    </row>
    <row r="109" spans="3:12" ht="18">
      <c r="C109" s="61" t="s">
        <v>257</v>
      </c>
      <c r="L109" s="61" t="s">
        <v>359</v>
      </c>
    </row>
    <row r="110" spans="3:12">
      <c r="C110" s="62"/>
      <c r="L110" s="62"/>
    </row>
    <row r="111" spans="3:12">
      <c r="C111" s="63" t="s">
        <v>258</v>
      </c>
      <c r="L111" s="63" t="s">
        <v>360</v>
      </c>
    </row>
    <row r="112" spans="3:12">
      <c r="C112" s="63" t="s">
        <v>259</v>
      </c>
      <c r="L112" s="63" t="s">
        <v>361</v>
      </c>
    </row>
    <row r="113" spans="3:12">
      <c r="C113" s="63" t="s">
        <v>260</v>
      </c>
      <c r="L113" s="63" t="s">
        <v>362</v>
      </c>
    </row>
    <row r="117" spans="3:12" ht="18">
      <c r="C117" s="61" t="s">
        <v>261</v>
      </c>
      <c r="L117" s="61" t="s">
        <v>363</v>
      </c>
    </row>
    <row r="118" spans="3:12">
      <c r="C118" s="62"/>
      <c r="L118" s="62"/>
    </row>
    <row r="119" spans="3:12">
      <c r="C119" s="63" t="s">
        <v>262</v>
      </c>
      <c r="L119" s="63" t="s">
        <v>364</v>
      </c>
    </row>
    <row r="120" spans="3:12">
      <c r="C120" s="63" t="s">
        <v>263</v>
      </c>
      <c r="L120" s="63" t="s">
        <v>365</v>
      </c>
    </row>
    <row r="121" spans="3:12">
      <c r="C121" s="63" t="s">
        <v>264</v>
      </c>
      <c r="L121" s="63" t="s">
        <v>366</v>
      </c>
    </row>
    <row r="125" spans="3:12" ht="18">
      <c r="C125" s="61" t="s">
        <v>265</v>
      </c>
      <c r="L125" s="61" t="s">
        <v>367</v>
      </c>
    </row>
    <row r="126" spans="3:12">
      <c r="C126" s="62"/>
      <c r="L126" s="62"/>
    </row>
    <row r="127" spans="3:12">
      <c r="C127" s="63" t="s">
        <v>266</v>
      </c>
      <c r="L127" s="63" t="s">
        <v>368</v>
      </c>
    </row>
    <row r="128" spans="3:12">
      <c r="C128" s="63" t="s">
        <v>267</v>
      </c>
      <c r="L128" s="63" t="s">
        <v>369</v>
      </c>
    </row>
    <row r="129" spans="3:12">
      <c r="C129" s="63" t="s">
        <v>268</v>
      </c>
      <c r="L129" s="63" t="s">
        <v>370</v>
      </c>
    </row>
    <row r="133" spans="3:12" ht="18">
      <c r="C133" s="61" t="s">
        <v>269</v>
      </c>
      <c r="L133" s="61" t="s">
        <v>371</v>
      </c>
    </row>
    <row r="134" spans="3:12">
      <c r="C134" s="62"/>
      <c r="L134" s="62"/>
    </row>
    <row r="135" spans="3:12">
      <c r="C135" s="63" t="s">
        <v>270</v>
      </c>
      <c r="L135" s="63" t="s">
        <v>372</v>
      </c>
    </row>
    <row r="136" spans="3:12">
      <c r="C136" s="63" t="s">
        <v>271</v>
      </c>
      <c r="L136" s="63" t="s">
        <v>373</v>
      </c>
    </row>
    <row r="137" spans="3:12">
      <c r="C137" s="63" t="s">
        <v>272</v>
      </c>
      <c r="L137" s="63" t="s">
        <v>374</v>
      </c>
    </row>
    <row r="141" spans="3:12" ht="18">
      <c r="C141" s="61" t="s">
        <v>273</v>
      </c>
      <c r="L141" s="61" t="s">
        <v>375</v>
      </c>
    </row>
    <row r="142" spans="3:12">
      <c r="C142" s="62"/>
    </row>
    <row r="143" spans="3:12">
      <c r="C143" s="63" t="s">
        <v>274</v>
      </c>
      <c r="L143" s="63" t="s">
        <v>376</v>
      </c>
    </row>
    <row r="144" spans="3:12">
      <c r="C144" s="63" t="s">
        <v>275</v>
      </c>
      <c r="L144" s="63" t="s">
        <v>377</v>
      </c>
    </row>
    <row r="145" spans="3:12">
      <c r="C145" s="63" t="s">
        <v>276</v>
      </c>
      <c r="L145" s="63" t="s">
        <v>378</v>
      </c>
    </row>
    <row r="149" spans="3:12" ht="18">
      <c r="C149" s="61" t="s">
        <v>277</v>
      </c>
      <c r="L149" s="61" t="s">
        <v>379</v>
      </c>
    </row>
    <row r="150" spans="3:12">
      <c r="C150" s="62"/>
      <c r="L150" s="62"/>
    </row>
    <row r="151" spans="3:12">
      <c r="C151" s="63" t="s">
        <v>278</v>
      </c>
      <c r="L151" s="63" t="s">
        <v>380</v>
      </c>
    </row>
    <row r="152" spans="3:12">
      <c r="C152" s="63" t="s">
        <v>279</v>
      </c>
      <c r="L152" s="63" t="s">
        <v>381</v>
      </c>
    </row>
    <row r="153" spans="3:12">
      <c r="C153" s="63" t="s">
        <v>280</v>
      </c>
      <c r="L153" s="63" t="s">
        <v>382</v>
      </c>
    </row>
    <row r="156" spans="3:12" ht="18">
      <c r="C156" s="61" t="s">
        <v>281</v>
      </c>
      <c r="L156" s="61" t="s">
        <v>383</v>
      </c>
    </row>
    <row r="157" spans="3:12">
      <c r="C157" s="62"/>
      <c r="L157" s="62"/>
    </row>
    <row r="158" spans="3:12">
      <c r="C158" s="63" t="s">
        <v>282</v>
      </c>
      <c r="L158" s="63" t="s">
        <v>384</v>
      </c>
    </row>
    <row r="159" spans="3:12">
      <c r="C159" s="63" t="s">
        <v>283</v>
      </c>
      <c r="L159" s="63" t="s">
        <v>385</v>
      </c>
    </row>
    <row r="160" spans="3:12">
      <c r="C160" s="63" t="s">
        <v>284</v>
      </c>
      <c r="L160" s="63" t="s">
        <v>386</v>
      </c>
    </row>
    <row r="163" spans="3:12" ht="18">
      <c r="C163" s="61" t="s">
        <v>285</v>
      </c>
      <c r="L163" s="61" t="s">
        <v>387</v>
      </c>
    </row>
    <row r="164" spans="3:12">
      <c r="C164" s="62"/>
      <c r="L164" s="62"/>
    </row>
    <row r="165" spans="3:12">
      <c r="C165" s="63" t="s">
        <v>286</v>
      </c>
      <c r="L165" s="63" t="s">
        <v>388</v>
      </c>
    </row>
    <row r="166" spans="3:12">
      <c r="C166" s="63" t="s">
        <v>287</v>
      </c>
      <c r="L166" s="63" t="s">
        <v>389</v>
      </c>
    </row>
    <row r="167" spans="3:12">
      <c r="C167" s="63" t="s">
        <v>288</v>
      </c>
      <c r="L167" s="63" t="s">
        <v>390</v>
      </c>
    </row>
    <row r="171" spans="3:12" ht="18">
      <c r="C171" s="61" t="s">
        <v>289</v>
      </c>
      <c r="L171" s="61" t="s">
        <v>391</v>
      </c>
    </row>
    <row r="172" spans="3:12">
      <c r="C172" s="62"/>
      <c r="L172" s="62"/>
    </row>
    <row r="173" spans="3:12">
      <c r="C173" s="63" t="s">
        <v>290</v>
      </c>
      <c r="L173" s="63" t="s">
        <v>392</v>
      </c>
    </row>
    <row r="174" spans="3:12">
      <c r="C174" s="63" t="s">
        <v>291</v>
      </c>
      <c r="L174" s="63" t="s">
        <v>393</v>
      </c>
    </row>
    <row r="175" spans="3:12">
      <c r="C175" s="63" t="s">
        <v>292</v>
      </c>
      <c r="L175" s="63" t="s">
        <v>394</v>
      </c>
    </row>
    <row r="179" spans="3:12" ht="18">
      <c r="C179" s="61" t="s">
        <v>293</v>
      </c>
      <c r="L179" s="61" t="s">
        <v>395</v>
      </c>
    </row>
    <row r="180" spans="3:12">
      <c r="C180" s="62"/>
      <c r="L180" s="62"/>
    </row>
    <row r="181" spans="3:12">
      <c r="C181" s="63" t="s">
        <v>294</v>
      </c>
      <c r="L181" s="63" t="s">
        <v>396</v>
      </c>
    </row>
    <row r="182" spans="3:12">
      <c r="C182" s="63" t="s">
        <v>295</v>
      </c>
      <c r="L182" s="63" t="s">
        <v>397</v>
      </c>
    </row>
    <row r="183" spans="3:12">
      <c r="C183" s="63" t="s">
        <v>296</v>
      </c>
      <c r="L183" s="63" t="s">
        <v>398</v>
      </c>
    </row>
    <row r="187" spans="3:12" ht="18">
      <c r="C187" s="61" t="s">
        <v>297</v>
      </c>
      <c r="L187" s="61" t="s">
        <v>399</v>
      </c>
    </row>
    <row r="188" spans="3:12">
      <c r="C188" s="62"/>
      <c r="L188" s="62"/>
    </row>
    <row r="189" spans="3:12">
      <c r="C189" s="63" t="s">
        <v>298</v>
      </c>
      <c r="L189" s="63" t="s">
        <v>400</v>
      </c>
    </row>
    <row r="190" spans="3:12">
      <c r="C190" s="63" t="s">
        <v>299</v>
      </c>
    </row>
    <row r="191" spans="3:12">
      <c r="C191" s="63" t="s">
        <v>300</v>
      </c>
    </row>
    <row r="195" spans="3:12" ht="18">
      <c r="C195" s="61" t="s">
        <v>301</v>
      </c>
      <c r="L195" s="61" t="s">
        <v>401</v>
      </c>
    </row>
    <row r="196" spans="3:12">
      <c r="C196" s="62"/>
      <c r="L196" s="62"/>
    </row>
    <row r="197" spans="3:12">
      <c r="C197" s="63" t="s">
        <v>302</v>
      </c>
      <c r="L197" s="63" t="s">
        <v>402</v>
      </c>
    </row>
    <row r="198" spans="3:12">
      <c r="C198" s="63" t="s">
        <v>303</v>
      </c>
      <c r="L198" s="63" t="s">
        <v>403</v>
      </c>
    </row>
    <row r="199" spans="3:12">
      <c r="C199" s="63" t="s">
        <v>304</v>
      </c>
      <c r="L199" s="63" t="s">
        <v>404</v>
      </c>
    </row>
    <row r="203" spans="3:12" ht="18">
      <c r="C203" s="61" t="s">
        <v>305</v>
      </c>
      <c r="L203" s="61" t="s">
        <v>405</v>
      </c>
    </row>
    <row r="204" spans="3:12">
      <c r="C204" s="62"/>
      <c r="L204" s="62"/>
    </row>
    <row r="205" spans="3:12">
      <c r="C205" s="63" t="s">
        <v>306</v>
      </c>
      <c r="L205" s="63" t="s">
        <v>406</v>
      </c>
    </row>
    <row r="206" spans="3:12">
      <c r="C206" s="63" t="s">
        <v>307</v>
      </c>
      <c r="L206" s="63" t="s">
        <v>407</v>
      </c>
    </row>
    <row r="207" spans="3:12">
      <c r="C207" s="63" t="s">
        <v>308</v>
      </c>
      <c r="L207" s="63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6D4B-382B-44AC-AECD-8A572EA3974E}">
  <dimension ref="C3:G9"/>
  <sheetViews>
    <sheetView showGridLines="0" workbookViewId="0">
      <selection activeCell="E8" sqref="E8"/>
    </sheetView>
  </sheetViews>
  <sheetFormatPr defaultRowHeight="14.4"/>
  <cols>
    <col min="3" max="3" width="6.44140625" bestFit="1" customWidth="1"/>
    <col min="4" max="4" width="12" bestFit="1" customWidth="1"/>
    <col min="5" max="5" width="13.109375" bestFit="1" customWidth="1"/>
    <col min="6" max="6" width="10.88671875" bestFit="1" customWidth="1"/>
    <col min="7" max="7" width="11.109375" bestFit="1" customWidth="1"/>
  </cols>
  <sheetData>
    <row r="3" spans="3:7" ht="18">
      <c r="C3" s="1" t="s">
        <v>51</v>
      </c>
      <c r="D3" s="1" t="s">
        <v>52</v>
      </c>
      <c r="E3" s="1" t="s">
        <v>0</v>
      </c>
      <c r="F3" s="1" t="s">
        <v>1</v>
      </c>
      <c r="G3" s="1" t="s">
        <v>2</v>
      </c>
    </row>
    <row r="4" spans="3:7">
      <c r="C4" s="2">
        <v>1</v>
      </c>
      <c r="D4" s="2" t="s">
        <v>53</v>
      </c>
      <c r="E4" s="3" t="str">
        <f>UPPER(D4)</f>
        <v>SUNNY</v>
      </c>
      <c r="F4" s="3" t="str">
        <f>LOWER(D4)</f>
        <v>sunny</v>
      </c>
      <c r="G4" s="3" t="str">
        <f>PROPER(D4)</f>
        <v>Sunny</v>
      </c>
    </row>
    <row r="5" spans="3:7">
      <c r="C5" s="2">
        <v>2</v>
      </c>
      <c r="D5" s="2" t="s">
        <v>54</v>
      </c>
      <c r="E5" s="3" t="str">
        <f t="shared" ref="E5:E9" si="0">UPPER(D5)</f>
        <v>RAHUL</v>
      </c>
      <c r="F5" s="3" t="str">
        <f t="shared" ref="F5:F9" si="1">LOWER(D5)</f>
        <v>rahul</v>
      </c>
      <c r="G5" s="3" t="str">
        <f t="shared" ref="G5:G9" si="2">PROPER(D5)</f>
        <v>Rahul</v>
      </c>
    </row>
    <row r="6" spans="3:7">
      <c r="C6" s="2">
        <v>3</v>
      </c>
      <c r="D6" s="2" t="s">
        <v>55</v>
      </c>
      <c r="E6" s="3" t="str">
        <f t="shared" si="0"/>
        <v>DHRAMENDER</v>
      </c>
      <c r="F6" s="3" t="str">
        <f t="shared" si="1"/>
        <v>dhramender</v>
      </c>
      <c r="G6" s="3" t="str">
        <f t="shared" si="2"/>
        <v>Dhramender</v>
      </c>
    </row>
    <row r="7" spans="3:7">
      <c r="C7" s="2">
        <v>4</v>
      </c>
      <c r="D7" s="2" t="s">
        <v>56</v>
      </c>
      <c r="E7" s="3" t="str">
        <f t="shared" si="0"/>
        <v>NEHA</v>
      </c>
      <c r="F7" s="3" t="str">
        <f t="shared" si="1"/>
        <v>neha</v>
      </c>
      <c r="G7" s="3" t="str">
        <f t="shared" si="2"/>
        <v>Neha</v>
      </c>
    </row>
    <row r="8" spans="3:7">
      <c r="C8" s="2">
        <v>5</v>
      </c>
      <c r="D8" s="2" t="s">
        <v>57</v>
      </c>
      <c r="E8" s="3" t="str">
        <f t="shared" si="0"/>
        <v>POOJA</v>
      </c>
      <c r="F8" s="3" t="str">
        <f t="shared" si="1"/>
        <v>pooja</v>
      </c>
      <c r="G8" s="3" t="str">
        <f t="shared" si="2"/>
        <v>Pooja</v>
      </c>
    </row>
    <row r="9" spans="3:7">
      <c r="C9" s="2">
        <v>6</v>
      </c>
      <c r="D9" s="2" t="s">
        <v>58</v>
      </c>
      <c r="E9" s="3" t="str">
        <f t="shared" si="0"/>
        <v>DEEPAK</v>
      </c>
      <c r="F9" s="3" t="str">
        <f t="shared" si="1"/>
        <v>deepak</v>
      </c>
      <c r="G9" s="3" t="str">
        <f t="shared" si="2"/>
        <v>Deepak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C0CD-E058-4964-B931-E77430661772}">
  <dimension ref="D4:F11"/>
  <sheetViews>
    <sheetView showGridLines="0" workbookViewId="0">
      <selection activeCell="H4" sqref="H4"/>
    </sheetView>
  </sheetViews>
  <sheetFormatPr defaultRowHeight="14.4"/>
  <cols>
    <col min="5" max="5" width="17.5546875" bestFit="1" customWidth="1"/>
    <col min="6" max="6" width="16.109375" bestFit="1" customWidth="1"/>
  </cols>
  <sheetData>
    <row r="4" spans="4:6">
      <c r="D4" s="4" t="s">
        <v>51</v>
      </c>
      <c r="E4" s="4" t="s">
        <v>59</v>
      </c>
      <c r="F4" s="4" t="s">
        <v>3</v>
      </c>
    </row>
    <row r="5" spans="4:6">
      <c r="D5" s="5">
        <v>1</v>
      </c>
      <c r="E5" s="6" t="s">
        <v>60</v>
      </c>
      <c r="F5" s="6" t="str">
        <f>TRIM(E5)</f>
        <v>Ridhima bhardwaj</v>
      </c>
    </row>
    <row r="6" spans="4:6">
      <c r="D6" s="5">
        <v>2</v>
      </c>
      <c r="E6" s="6" t="s">
        <v>61</v>
      </c>
      <c r="F6" s="6" t="str">
        <f t="shared" ref="F6:F11" si="0">TRIM(E6)</f>
        <v>Rahul gupta</v>
      </c>
    </row>
    <row r="7" spans="4:6">
      <c r="D7" s="5">
        <v>3</v>
      </c>
      <c r="E7" s="6" t="s">
        <v>62</v>
      </c>
      <c r="F7" s="6" t="str">
        <f t="shared" si="0"/>
        <v>dharmenderkumar</v>
      </c>
    </row>
    <row r="8" spans="4:6">
      <c r="D8" s="5">
        <v>4</v>
      </c>
      <c r="E8" s="6" t="s">
        <v>63</v>
      </c>
      <c r="F8" s="6" t="str">
        <f t="shared" si="0"/>
        <v>sunny BAJA</v>
      </c>
    </row>
    <row r="9" spans="4:6">
      <c r="D9" s="5">
        <v>5</v>
      </c>
      <c r="E9" s="6" t="s">
        <v>64</v>
      </c>
      <c r="F9" s="6" t="str">
        <f t="shared" si="0"/>
        <v>POOJA</v>
      </c>
    </row>
    <row r="10" spans="4:6">
      <c r="D10" s="5">
        <v>6</v>
      </c>
      <c r="E10" s="6" t="s">
        <v>65</v>
      </c>
      <c r="F10" s="6" t="str">
        <f t="shared" si="0"/>
        <v>manish kannoujiya</v>
      </c>
    </row>
    <row r="11" spans="4:6">
      <c r="D11" s="5">
        <v>7</v>
      </c>
      <c r="E11" s="6" t="s">
        <v>66</v>
      </c>
      <c r="F11" s="6" t="str">
        <f t="shared" si="0"/>
        <v>raj singhania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7D7C-D9F3-46BF-A7BD-18FAEC79E9CA}">
  <dimension ref="D4:I5"/>
  <sheetViews>
    <sheetView showGridLines="0" workbookViewId="0">
      <selection activeCell="G8" sqref="G8"/>
    </sheetView>
  </sheetViews>
  <sheetFormatPr defaultRowHeight="14.4"/>
  <cols>
    <col min="6" max="6" width="10" bestFit="1" customWidth="1"/>
    <col min="7" max="9" width="10.44140625" bestFit="1" customWidth="1"/>
  </cols>
  <sheetData>
    <row r="4" spans="4:9">
      <c r="D4" s="7" t="s">
        <v>200</v>
      </c>
      <c r="E4" s="7" t="s">
        <v>201</v>
      </c>
      <c r="F4" s="8" t="str">
        <f>_xlfn.CONCAT(D4,E4)</f>
        <v>AmitSurera</v>
      </c>
      <c r="G4" s="8" t="str">
        <f>_xlfn.CONCAT(D4," ",E4)</f>
        <v>Amit Surera</v>
      </c>
      <c r="H4" s="8" t="str">
        <f>CONCATENATE(D4," ",E4)</f>
        <v>Amit Surera</v>
      </c>
      <c r="I4" s="8" t="str">
        <f>PROPER(_xlfn.CONCAT(D4," ",E4))</f>
        <v>Amit Surera</v>
      </c>
    </row>
    <row r="5" spans="4:9">
      <c r="E5" t="s">
        <v>67</v>
      </c>
      <c r="F5" s="8" t="str">
        <f>D4&amp;E4</f>
        <v>AmitSurera</v>
      </c>
      <c r="G5" s="8" t="str">
        <f>D4&amp;" "&amp;E4</f>
        <v>Amit Surera</v>
      </c>
      <c r="H5" s="59" t="str">
        <f>PROPER(D4&amp;" "&amp;E4)</f>
        <v>Amit Surera</v>
      </c>
      <c r="I5" s="60"/>
    </row>
  </sheetData>
  <mergeCells count="1">
    <mergeCell ref="H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4F32-268E-4FE4-923D-59AD01252589}">
  <dimension ref="D4:E10"/>
  <sheetViews>
    <sheetView showGridLines="0" workbookViewId="0">
      <selection activeCell="E6" sqref="E6"/>
    </sheetView>
  </sheetViews>
  <sheetFormatPr defaultRowHeight="14.4"/>
  <sheetData>
    <row r="4" spans="4:5">
      <c r="D4" s="7">
        <v>15</v>
      </c>
      <c r="E4" s="7" t="str">
        <f>ROMAN(D4)</f>
        <v>XV</v>
      </c>
    </row>
    <row r="5" spans="4:5">
      <c r="D5" s="7">
        <v>56</v>
      </c>
      <c r="E5" s="7" t="str">
        <f t="shared" ref="E5:E10" si="0">ROMAN(D5)</f>
        <v>LVI</v>
      </c>
    </row>
    <row r="6" spans="4:5">
      <c r="D6" s="7">
        <v>2</v>
      </c>
      <c r="E6" s="7" t="str">
        <f t="shared" si="0"/>
        <v>II</v>
      </c>
    </row>
    <row r="7" spans="4:5">
      <c r="D7" s="7">
        <v>6</v>
      </c>
      <c r="E7" s="7" t="str">
        <f t="shared" si="0"/>
        <v>VI</v>
      </c>
    </row>
    <row r="8" spans="4:5">
      <c r="D8" s="7">
        <v>5</v>
      </c>
      <c r="E8" s="7" t="str">
        <f t="shared" si="0"/>
        <v>V</v>
      </c>
    </row>
    <row r="9" spans="4:5">
      <c r="D9" s="7">
        <v>11</v>
      </c>
      <c r="E9" s="7" t="str">
        <f t="shared" si="0"/>
        <v>XI</v>
      </c>
    </row>
    <row r="10" spans="4:5">
      <c r="D10" s="7">
        <v>25</v>
      </c>
      <c r="E10" s="7" t="str">
        <f t="shared" si="0"/>
        <v>XXV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1DB9-9C83-423D-BF72-9E5770C1DBF4}">
  <dimension ref="C4:G39"/>
  <sheetViews>
    <sheetView showGridLines="0" workbookViewId="0">
      <selection activeCell="G14" sqref="G14"/>
    </sheetView>
  </sheetViews>
  <sheetFormatPr defaultRowHeight="14.4"/>
  <cols>
    <col min="4" max="4" width="11.6640625" bestFit="1" customWidth="1"/>
    <col min="6" max="7" width="22.109375" bestFit="1" customWidth="1"/>
  </cols>
  <sheetData>
    <row r="4" spans="3:6">
      <c r="D4" s="9" t="s">
        <v>6</v>
      </c>
    </row>
    <row r="6" spans="3:6">
      <c r="C6" s="9" t="s">
        <v>68</v>
      </c>
      <c r="D6" s="9" t="s">
        <v>52</v>
      </c>
      <c r="E6" s="9" t="s">
        <v>69</v>
      </c>
      <c r="F6" s="9" t="s">
        <v>70</v>
      </c>
    </row>
    <row r="7" spans="3:6">
      <c r="C7" s="7">
        <v>1</v>
      </c>
      <c r="D7" s="7" t="s">
        <v>71</v>
      </c>
      <c r="E7" s="7" t="str">
        <f>LEFT(D7,1)</f>
        <v>S</v>
      </c>
      <c r="F7" s="7" t="str">
        <f>LEFT(D7,3)</f>
        <v>Sun</v>
      </c>
    </row>
    <row r="8" spans="3:6">
      <c r="C8" s="7">
        <v>2</v>
      </c>
      <c r="D8" s="7" t="s">
        <v>72</v>
      </c>
      <c r="E8" s="7" t="str">
        <f t="shared" ref="E8:E14" si="0">LEFT(D8,1)</f>
        <v>R</v>
      </c>
      <c r="F8" s="7" t="str">
        <f t="shared" ref="F8:F14" si="1">LEFT(D8,3)</f>
        <v>Raj</v>
      </c>
    </row>
    <row r="9" spans="3:6">
      <c r="C9" s="7">
        <v>3</v>
      </c>
      <c r="D9" s="7" t="s">
        <v>73</v>
      </c>
      <c r="E9" s="7" t="str">
        <f t="shared" si="0"/>
        <v>M</v>
      </c>
      <c r="F9" s="7" t="str">
        <f t="shared" si="1"/>
        <v>Meg</v>
      </c>
    </row>
    <row r="10" spans="3:6">
      <c r="C10" s="7">
        <v>4</v>
      </c>
      <c r="D10" s="7" t="s">
        <v>74</v>
      </c>
      <c r="E10" s="7" t="str">
        <f t="shared" si="0"/>
        <v>A</v>
      </c>
      <c r="F10" s="7" t="str">
        <f t="shared" si="1"/>
        <v>Akh</v>
      </c>
    </row>
    <row r="11" spans="3:6">
      <c r="C11" s="7">
        <v>5</v>
      </c>
      <c r="D11" s="7" t="s">
        <v>75</v>
      </c>
      <c r="E11" s="7" t="str">
        <f t="shared" si="0"/>
        <v>D</v>
      </c>
      <c r="F11" s="7" t="str">
        <f t="shared" si="1"/>
        <v>Dha</v>
      </c>
    </row>
    <row r="12" spans="3:6">
      <c r="C12" s="7">
        <v>6</v>
      </c>
      <c r="D12" s="7" t="s">
        <v>76</v>
      </c>
      <c r="E12" s="7" t="str">
        <f t="shared" si="0"/>
        <v>V</v>
      </c>
      <c r="F12" s="7" t="str">
        <f t="shared" si="1"/>
        <v>Var</v>
      </c>
    </row>
    <row r="13" spans="3:6">
      <c r="C13" s="7">
        <v>7</v>
      </c>
      <c r="D13" s="7" t="s">
        <v>77</v>
      </c>
      <c r="E13" s="7" t="str">
        <f t="shared" si="0"/>
        <v>G</v>
      </c>
      <c r="F13" s="7" t="str">
        <f t="shared" si="1"/>
        <v>Gau</v>
      </c>
    </row>
    <row r="14" spans="3:6">
      <c r="C14" s="7">
        <v>8</v>
      </c>
      <c r="D14" s="7" t="s">
        <v>78</v>
      </c>
      <c r="E14" s="7" t="str">
        <f t="shared" si="0"/>
        <v>P</v>
      </c>
      <c r="F14" s="7" t="str">
        <f t="shared" si="1"/>
        <v>Pri</v>
      </c>
    </row>
    <row r="16" spans="3:6">
      <c r="D16" s="9" t="s">
        <v>7</v>
      </c>
    </row>
    <row r="18" spans="3:7">
      <c r="C18" s="9" t="s">
        <v>68</v>
      </c>
      <c r="D18" s="9" t="s">
        <v>52</v>
      </c>
      <c r="E18" s="9"/>
      <c r="F18" s="9" t="s">
        <v>69</v>
      </c>
      <c r="G18" s="9" t="s">
        <v>70</v>
      </c>
    </row>
    <row r="19" spans="3:7">
      <c r="C19" s="7">
        <v>1</v>
      </c>
      <c r="D19" s="7" t="s">
        <v>71</v>
      </c>
      <c r="E19" s="7">
        <v>1</v>
      </c>
      <c r="F19" s="7" t="str">
        <f>RIGHT(D19,1)</f>
        <v>y</v>
      </c>
      <c r="G19" s="7" t="str">
        <f>RIGHT(D19,E19)</f>
        <v>y</v>
      </c>
    </row>
    <row r="20" spans="3:7">
      <c r="C20" s="7">
        <v>2</v>
      </c>
      <c r="D20" s="7" t="s">
        <v>72</v>
      </c>
      <c r="E20" s="7">
        <v>6</v>
      </c>
      <c r="F20" s="7" t="str">
        <f t="shared" ref="F20:F26" si="2">RIGHT(D20,1)</f>
        <v>v</v>
      </c>
      <c r="G20" s="7" t="str">
        <f t="shared" ref="G20:G26" si="3">RIGHT(D20,E20)</f>
        <v xml:space="preserve"> Yadav</v>
      </c>
    </row>
    <row r="21" spans="3:7">
      <c r="C21" s="7">
        <v>3</v>
      </c>
      <c r="D21" s="7" t="s">
        <v>73</v>
      </c>
      <c r="E21" s="7">
        <v>6</v>
      </c>
      <c r="F21" s="7" t="str">
        <f t="shared" si="2"/>
        <v>a</v>
      </c>
      <c r="G21" s="7" t="str">
        <f t="shared" si="3"/>
        <v>Megha</v>
      </c>
    </row>
    <row r="22" spans="3:7">
      <c r="C22" s="7">
        <v>4</v>
      </c>
      <c r="D22" s="7" t="s">
        <v>74</v>
      </c>
      <c r="E22" s="7">
        <v>5</v>
      </c>
      <c r="F22" s="7" t="str">
        <f t="shared" si="2"/>
        <v>h</v>
      </c>
      <c r="G22" s="7" t="str">
        <f t="shared" si="3"/>
        <v>ilesh</v>
      </c>
    </row>
    <row r="23" spans="3:7">
      <c r="C23" s="7">
        <v>5</v>
      </c>
      <c r="D23" s="7" t="s">
        <v>75</v>
      </c>
      <c r="E23" s="7">
        <v>5</v>
      </c>
      <c r="F23" s="7" t="str">
        <f t="shared" si="2"/>
        <v>r</v>
      </c>
      <c r="G23" s="7" t="str">
        <f t="shared" si="3"/>
        <v>ender</v>
      </c>
    </row>
    <row r="24" spans="3:7">
      <c r="C24" s="7">
        <v>6</v>
      </c>
      <c r="D24" s="7" t="s">
        <v>76</v>
      </c>
      <c r="E24" s="7">
        <v>6</v>
      </c>
      <c r="F24" s="7" t="str">
        <f t="shared" si="2"/>
        <v>a</v>
      </c>
      <c r="G24" s="7" t="str">
        <f t="shared" si="3"/>
        <v>Varsha</v>
      </c>
    </row>
    <row r="25" spans="3:7">
      <c r="C25" s="7">
        <v>7</v>
      </c>
      <c r="D25" s="7" t="s">
        <v>77</v>
      </c>
      <c r="E25" s="7">
        <v>3</v>
      </c>
      <c r="F25" s="7" t="str">
        <f t="shared" si="2"/>
        <v>m</v>
      </c>
      <c r="G25" s="7" t="str">
        <f t="shared" si="3"/>
        <v>tam</v>
      </c>
    </row>
    <row r="26" spans="3:7">
      <c r="C26" s="7">
        <v>8</v>
      </c>
      <c r="D26" s="7" t="s">
        <v>78</v>
      </c>
      <c r="E26" s="7">
        <v>4</v>
      </c>
      <c r="F26" s="7" t="str">
        <f t="shared" si="2"/>
        <v>a</v>
      </c>
      <c r="G26" s="7" t="str">
        <f t="shared" si="3"/>
        <v>anka</v>
      </c>
    </row>
    <row r="29" spans="3:7">
      <c r="D29" s="9" t="s">
        <v>8</v>
      </c>
    </row>
    <row r="31" spans="3:7">
      <c r="C31" s="9" t="s">
        <v>68</v>
      </c>
      <c r="D31" s="9" t="s">
        <v>52</v>
      </c>
      <c r="E31" s="9" t="s">
        <v>79</v>
      </c>
      <c r="F31" s="9" t="s">
        <v>80</v>
      </c>
      <c r="G31" s="9" t="s">
        <v>81</v>
      </c>
    </row>
    <row r="32" spans="3:7">
      <c r="C32" s="7">
        <v>1</v>
      </c>
      <c r="D32" s="7" t="s">
        <v>82</v>
      </c>
      <c r="E32" s="7">
        <v>2</v>
      </c>
      <c r="F32" s="7">
        <v>6</v>
      </c>
      <c r="G32" s="7" t="str">
        <f>MID(D32,E32,F32)</f>
        <v>unny B</v>
      </c>
    </row>
    <row r="33" spans="3:7">
      <c r="C33" s="7">
        <v>2</v>
      </c>
      <c r="D33" s="7" t="s">
        <v>72</v>
      </c>
      <c r="E33" s="7">
        <v>3</v>
      </c>
      <c r="F33" s="7">
        <v>7</v>
      </c>
      <c r="G33" s="7" t="str">
        <f t="shared" ref="G33:G39" si="4">MID(D33,E33,F33)</f>
        <v>jesh Ya</v>
      </c>
    </row>
    <row r="34" spans="3:7">
      <c r="C34" s="7">
        <v>3</v>
      </c>
      <c r="D34" s="7" t="s">
        <v>73</v>
      </c>
      <c r="E34" s="7">
        <v>4</v>
      </c>
      <c r="F34" s="7">
        <v>6</v>
      </c>
      <c r="G34" s="7" t="str">
        <f t="shared" si="4"/>
        <v>ha</v>
      </c>
    </row>
    <row r="35" spans="3:7">
      <c r="C35" s="7">
        <v>4</v>
      </c>
      <c r="D35" s="7" t="s">
        <v>74</v>
      </c>
      <c r="E35" s="7">
        <v>3</v>
      </c>
      <c r="F35" s="7">
        <v>5</v>
      </c>
      <c r="G35" s="7" t="str">
        <f t="shared" si="4"/>
        <v>hiles</v>
      </c>
    </row>
    <row r="36" spans="3:7">
      <c r="C36" s="7">
        <v>5</v>
      </c>
      <c r="D36" s="7" t="s">
        <v>75</v>
      </c>
      <c r="E36" s="7">
        <v>3</v>
      </c>
      <c r="F36" s="7">
        <v>8</v>
      </c>
      <c r="G36" s="7" t="str">
        <f t="shared" si="4"/>
        <v>armender</v>
      </c>
    </row>
    <row r="37" spans="3:7">
      <c r="C37" s="7">
        <v>6</v>
      </c>
      <c r="D37" s="7" t="s">
        <v>76</v>
      </c>
      <c r="E37" s="7">
        <v>3</v>
      </c>
      <c r="F37" s="7">
        <v>6</v>
      </c>
      <c r="G37" s="7" t="str">
        <f t="shared" si="4"/>
        <v>rsha</v>
      </c>
    </row>
    <row r="38" spans="3:7">
      <c r="C38" s="7">
        <v>7</v>
      </c>
      <c r="D38" s="7" t="s">
        <v>77</v>
      </c>
      <c r="E38" s="7">
        <v>1</v>
      </c>
      <c r="F38" s="7">
        <v>3</v>
      </c>
      <c r="G38" s="7" t="str">
        <f t="shared" si="4"/>
        <v>Gau</v>
      </c>
    </row>
    <row r="39" spans="3:7">
      <c r="C39" s="7">
        <v>8</v>
      </c>
      <c r="D39" s="7" t="s">
        <v>78</v>
      </c>
      <c r="E39" s="7">
        <v>2</v>
      </c>
      <c r="F39" s="7">
        <v>5</v>
      </c>
      <c r="G39" s="7" t="str">
        <f t="shared" si="4"/>
        <v>riyan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C743-B17A-48B7-9D4E-8D9383E92524}">
  <dimension ref="C3:P12"/>
  <sheetViews>
    <sheetView showGridLines="0" workbookViewId="0">
      <selection activeCell="F9" sqref="F9"/>
    </sheetView>
  </sheetViews>
  <sheetFormatPr defaultRowHeight="14.4"/>
  <cols>
    <col min="10" max="10" width="16.33203125" bestFit="1" customWidth="1"/>
    <col min="15" max="15" width="9.5546875" bestFit="1" customWidth="1"/>
    <col min="16" max="16" width="27.109375" bestFit="1" customWidth="1"/>
  </cols>
  <sheetData>
    <row r="3" spans="3:16">
      <c r="C3" s="9" t="s">
        <v>9</v>
      </c>
      <c r="J3" s="9" t="s">
        <v>83</v>
      </c>
      <c r="N3" s="9" t="s">
        <v>84</v>
      </c>
    </row>
    <row r="5" spans="3:16">
      <c r="C5" s="5" t="s">
        <v>85</v>
      </c>
      <c r="D5" s="5" t="s">
        <v>86</v>
      </c>
      <c r="E5" s="5" t="s">
        <v>87</v>
      </c>
      <c r="F5" s="5" t="s">
        <v>9</v>
      </c>
      <c r="I5" s="5" t="s">
        <v>51</v>
      </c>
      <c r="J5" s="5" t="s">
        <v>88</v>
      </c>
      <c r="K5" s="5" t="s">
        <v>10</v>
      </c>
      <c r="N5" s="5" t="s">
        <v>85</v>
      </c>
      <c r="O5" s="5" t="s">
        <v>88</v>
      </c>
      <c r="P5" s="5" t="s">
        <v>11</v>
      </c>
    </row>
    <row r="6" spans="3:16">
      <c r="C6" s="5">
        <v>1</v>
      </c>
      <c r="D6" s="5" t="s">
        <v>89</v>
      </c>
      <c r="E6" s="5" t="s">
        <v>53</v>
      </c>
      <c r="F6" s="5" t="b">
        <f>EXACT(D6,E6)</f>
        <v>0</v>
      </c>
      <c r="I6" s="5">
        <v>1</v>
      </c>
      <c r="J6" s="5" t="s">
        <v>71</v>
      </c>
      <c r="K6" s="5">
        <f>LEN(J6)</f>
        <v>5</v>
      </c>
      <c r="N6" s="5">
        <v>1</v>
      </c>
      <c r="O6" s="5" t="s">
        <v>90</v>
      </c>
      <c r="P6" s="5" t="str">
        <f>REPT(O6,3)</f>
        <v xml:space="preserve">Raj   Raj   Raj   </v>
      </c>
    </row>
    <row r="7" spans="3:16">
      <c r="C7" s="5">
        <v>2</v>
      </c>
      <c r="D7" s="5" t="s">
        <v>91</v>
      </c>
      <c r="E7" s="5" t="s">
        <v>92</v>
      </c>
      <c r="F7" s="5" t="b">
        <f t="shared" ref="F7:F12" si="0">EXACT(D7,E7)</f>
        <v>0</v>
      </c>
      <c r="I7" s="5">
        <v>2</v>
      </c>
      <c r="J7" s="5" t="s">
        <v>93</v>
      </c>
      <c r="K7" s="5">
        <f t="shared" ref="K7:K10" si="1">LEN(J7)</f>
        <v>17</v>
      </c>
      <c r="N7" s="5">
        <v>2</v>
      </c>
      <c r="O7" s="5">
        <v>12345</v>
      </c>
      <c r="P7" s="5" t="str">
        <f t="shared" ref="P7:P12" si="2">REPT(O7,3)</f>
        <v>123451234512345</v>
      </c>
    </row>
    <row r="8" spans="3:16">
      <c r="C8" s="5">
        <v>3</v>
      </c>
      <c r="D8" s="5">
        <v>123456</v>
      </c>
      <c r="E8" s="5">
        <v>123456</v>
      </c>
      <c r="F8" s="5" t="b">
        <f t="shared" si="0"/>
        <v>1</v>
      </c>
      <c r="I8" s="5">
        <v>3</v>
      </c>
      <c r="J8" s="5" t="s">
        <v>94</v>
      </c>
      <c r="K8" s="5">
        <f t="shared" si="1"/>
        <v>9</v>
      </c>
      <c r="N8" s="5">
        <v>3</v>
      </c>
      <c r="O8" s="5" t="s">
        <v>95</v>
      </c>
      <c r="P8" s="5" t="str">
        <f t="shared" si="2"/>
        <v>@@@</v>
      </c>
    </row>
    <row r="9" spans="3:16">
      <c r="C9" s="5">
        <v>4</v>
      </c>
      <c r="D9" s="5" t="e">
        <v>#N/A</v>
      </c>
      <c r="E9" s="5" t="e">
        <v>#N/A</v>
      </c>
      <c r="F9" s="5" t="e">
        <f t="shared" si="0"/>
        <v>#N/A</v>
      </c>
      <c r="I9" s="5">
        <v>4</v>
      </c>
      <c r="J9" s="5" t="s">
        <v>96</v>
      </c>
      <c r="K9" s="5">
        <f t="shared" si="1"/>
        <v>18</v>
      </c>
      <c r="N9" s="5">
        <v>4</v>
      </c>
      <c r="O9" s="5" t="s">
        <v>97</v>
      </c>
      <c r="P9" s="5" t="str">
        <f t="shared" si="2"/>
        <v>6/23/20246/23/20246/23/2024</v>
      </c>
    </row>
    <row r="10" spans="3:16">
      <c r="C10" s="5">
        <v>5</v>
      </c>
      <c r="D10" s="10" t="s">
        <v>98</v>
      </c>
      <c r="E10" s="10" t="s">
        <v>98</v>
      </c>
      <c r="F10" s="5" t="b">
        <f t="shared" si="0"/>
        <v>1</v>
      </c>
      <c r="I10" s="5">
        <v>5</v>
      </c>
      <c r="J10" s="10" t="s">
        <v>99</v>
      </c>
      <c r="K10" s="5">
        <f t="shared" si="1"/>
        <v>5</v>
      </c>
      <c r="N10" s="5">
        <v>5</v>
      </c>
      <c r="O10" s="5" t="e">
        <v>#N/A</v>
      </c>
      <c r="P10" s="5" t="e">
        <f t="shared" si="2"/>
        <v>#N/A</v>
      </c>
    </row>
    <row r="11" spans="3:16">
      <c r="C11" s="5">
        <v>6</v>
      </c>
      <c r="D11" s="5" t="s">
        <v>100</v>
      </c>
      <c r="E11" s="5" t="s">
        <v>101</v>
      </c>
      <c r="F11" s="5" t="b">
        <f t="shared" si="0"/>
        <v>0</v>
      </c>
      <c r="N11" s="5">
        <v>6</v>
      </c>
      <c r="O11" s="5" t="s">
        <v>102</v>
      </c>
      <c r="P11" s="5" t="str">
        <f t="shared" si="2"/>
        <v>123-Ravi123-Ravi123-Ravi</v>
      </c>
    </row>
    <row r="12" spans="3:16">
      <c r="C12" s="5">
        <v>7</v>
      </c>
      <c r="D12" s="5" t="s">
        <v>103</v>
      </c>
      <c r="E12" s="5" t="s">
        <v>104</v>
      </c>
      <c r="F12" s="5" t="b">
        <f t="shared" si="0"/>
        <v>0</v>
      </c>
      <c r="N12" s="5">
        <v>7</v>
      </c>
      <c r="O12" s="5" t="s">
        <v>105</v>
      </c>
      <c r="P12" s="5" t="str">
        <f t="shared" si="2"/>
        <v>yyy</v>
      </c>
    </row>
  </sheetData>
  <hyperlinks>
    <hyperlink ref="D10" r:id="rId1" xr:uid="{A9988F80-61F5-4CAA-926C-D2D93A6778B8}"/>
    <hyperlink ref="E10" r:id="rId2" xr:uid="{32D35634-2774-4EA9-94E7-055C7F867883}"/>
    <hyperlink ref="J10" r:id="rId3" xr:uid="{3C874288-53DF-4DC1-B8BA-D89CE9B91D1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07C1-0EE5-4BF5-BA05-AFAE8DD1A53F}">
  <dimension ref="D2:M53"/>
  <sheetViews>
    <sheetView showGridLines="0" workbookViewId="0">
      <selection activeCell="G56" sqref="G56"/>
    </sheetView>
  </sheetViews>
  <sheetFormatPr defaultRowHeight="14.4"/>
  <cols>
    <col min="6" max="6" width="12.6640625" bestFit="1" customWidth="1"/>
    <col min="7" max="7" width="12" bestFit="1" customWidth="1"/>
  </cols>
  <sheetData>
    <row r="2" spans="4:13" ht="15" thickBot="1"/>
    <row r="3" spans="4:13">
      <c r="D3" s="11"/>
      <c r="E3" s="12"/>
      <c r="F3" s="12"/>
      <c r="G3" s="12"/>
      <c r="H3" s="12"/>
      <c r="I3" s="12"/>
      <c r="J3" s="12"/>
      <c r="K3" s="12"/>
      <c r="L3" s="12"/>
      <c r="M3" s="13"/>
    </row>
    <row r="4" spans="4:13">
      <c r="D4" s="14"/>
      <c r="G4" s="9" t="s">
        <v>106</v>
      </c>
      <c r="M4" s="15"/>
    </row>
    <row r="5" spans="4:13">
      <c r="D5" s="14"/>
      <c r="M5" s="15"/>
    </row>
    <row r="6" spans="4:13">
      <c r="D6" s="14"/>
      <c r="E6" s="7">
        <v>15</v>
      </c>
      <c r="G6" s="7">
        <v>35</v>
      </c>
      <c r="H6" s="7">
        <v>68</v>
      </c>
      <c r="I6" s="7">
        <v>85</v>
      </c>
      <c r="J6" s="7">
        <v>72</v>
      </c>
      <c r="L6" s="8">
        <f>G6+H6+I6+J6</f>
        <v>260</v>
      </c>
      <c r="M6" s="15"/>
    </row>
    <row r="7" spans="4:13">
      <c r="D7" s="14"/>
      <c r="E7" s="7">
        <v>56</v>
      </c>
      <c r="M7" s="15"/>
    </row>
    <row r="8" spans="4:13">
      <c r="D8" s="14"/>
      <c r="E8" s="7">
        <v>47</v>
      </c>
      <c r="M8" s="15"/>
    </row>
    <row r="9" spans="4:13">
      <c r="D9" s="14"/>
      <c r="M9" s="15"/>
    </row>
    <row r="10" spans="4:13">
      <c r="D10" s="14"/>
      <c r="E10" s="8">
        <f>E6+E7+E8</f>
        <v>118</v>
      </c>
      <c r="M10" s="15"/>
    </row>
    <row r="11" spans="4:13" ht="15" thickBot="1">
      <c r="D11" s="16"/>
      <c r="E11" s="17"/>
      <c r="F11" s="17"/>
      <c r="G11" s="17"/>
      <c r="H11" s="17"/>
      <c r="I11" s="17"/>
      <c r="J11" s="17"/>
      <c r="K11" s="17"/>
      <c r="L11" s="17"/>
      <c r="M11" s="18"/>
    </row>
    <row r="13" spans="4:13" ht="15" thickBot="1"/>
    <row r="14" spans="4:13">
      <c r="D14" s="11"/>
      <c r="E14" s="12"/>
      <c r="F14" s="12"/>
      <c r="G14" s="12"/>
      <c r="H14" s="12"/>
      <c r="I14" s="12"/>
      <c r="J14" s="12"/>
      <c r="K14" s="12"/>
      <c r="L14" s="13"/>
    </row>
    <row r="15" spans="4:13">
      <c r="D15" s="14"/>
      <c r="G15" s="9" t="s">
        <v>107</v>
      </c>
      <c r="L15" s="15"/>
    </row>
    <row r="16" spans="4:13">
      <c r="D16" s="14"/>
      <c r="L16" s="15"/>
    </row>
    <row r="17" spans="4:12">
      <c r="D17" s="14"/>
      <c r="E17" s="7">
        <v>69</v>
      </c>
      <c r="H17" s="7">
        <v>35</v>
      </c>
      <c r="I17" s="7">
        <v>96</v>
      </c>
      <c r="K17" s="8">
        <f>H17-I17</f>
        <v>-61</v>
      </c>
      <c r="L17" s="15"/>
    </row>
    <row r="18" spans="4:12">
      <c r="D18" s="14"/>
      <c r="E18" s="7">
        <v>46</v>
      </c>
      <c r="L18" s="15"/>
    </row>
    <row r="19" spans="4:12">
      <c r="D19" s="14"/>
      <c r="L19" s="15"/>
    </row>
    <row r="20" spans="4:12">
      <c r="D20" s="14"/>
      <c r="E20" s="8">
        <f>E17-E18</f>
        <v>23</v>
      </c>
      <c r="L20" s="15"/>
    </row>
    <row r="21" spans="4:12" ht="15" thickBot="1">
      <c r="D21" s="16"/>
      <c r="E21" s="17"/>
      <c r="F21" s="17"/>
      <c r="G21" s="17"/>
      <c r="H21" s="17"/>
      <c r="I21" s="17"/>
      <c r="J21" s="17"/>
      <c r="K21" s="17"/>
      <c r="L21" s="18"/>
    </row>
    <row r="23" spans="4:12" ht="15" thickBot="1"/>
    <row r="24" spans="4:12">
      <c r="D24" s="11"/>
      <c r="E24" s="12"/>
      <c r="F24" s="12"/>
      <c r="G24" s="12"/>
      <c r="H24" s="12"/>
      <c r="I24" s="12"/>
      <c r="J24" s="12"/>
      <c r="K24" s="12"/>
      <c r="L24" s="13"/>
    </row>
    <row r="25" spans="4:12">
      <c r="D25" s="14"/>
      <c r="F25" s="9" t="s">
        <v>108</v>
      </c>
      <c r="L25" s="15"/>
    </row>
    <row r="26" spans="4:12">
      <c r="D26" s="14"/>
      <c r="L26" s="15"/>
    </row>
    <row r="27" spans="4:12">
      <c r="D27" s="14"/>
      <c r="E27" s="7">
        <v>86</v>
      </c>
      <c r="G27" s="7">
        <v>10</v>
      </c>
      <c r="H27" s="7">
        <v>20</v>
      </c>
      <c r="I27" s="7">
        <v>12</v>
      </c>
      <c r="K27" s="8">
        <f>G27*H27*I27</f>
        <v>2400</v>
      </c>
      <c r="L27" s="15"/>
    </row>
    <row r="28" spans="4:12">
      <c r="D28" s="14"/>
      <c r="E28" s="7">
        <v>56</v>
      </c>
      <c r="L28" s="15"/>
    </row>
    <row r="29" spans="4:12">
      <c r="D29" s="14"/>
      <c r="L29" s="15"/>
    </row>
    <row r="30" spans="4:12">
      <c r="D30" s="14"/>
      <c r="E30" s="8">
        <f>E27*E28</f>
        <v>4816</v>
      </c>
      <c r="L30" s="15"/>
    </row>
    <row r="31" spans="4:12" ht="15" thickBot="1">
      <c r="D31" s="16"/>
      <c r="E31" s="17"/>
      <c r="F31" s="17"/>
      <c r="G31" s="17"/>
      <c r="H31" s="17"/>
      <c r="I31" s="17"/>
      <c r="J31" s="17"/>
      <c r="K31" s="17"/>
      <c r="L31" s="18"/>
    </row>
    <row r="33" spans="4:12" ht="15" thickBot="1"/>
    <row r="34" spans="4:12">
      <c r="D34" s="11"/>
      <c r="E34" s="12"/>
      <c r="F34" s="12"/>
      <c r="G34" s="12"/>
      <c r="H34" s="12"/>
      <c r="I34" s="12"/>
      <c r="J34" s="12"/>
      <c r="K34" s="12"/>
      <c r="L34" s="13"/>
    </row>
    <row r="35" spans="4:12">
      <c r="D35" s="14"/>
      <c r="L35" s="15"/>
    </row>
    <row r="36" spans="4:12">
      <c r="D36" s="14"/>
      <c r="F36" s="8" t="s">
        <v>109</v>
      </c>
      <c r="L36" s="15"/>
    </row>
    <row r="37" spans="4:12">
      <c r="D37" s="14"/>
      <c r="H37" s="7">
        <v>9678</v>
      </c>
      <c r="L37" s="15"/>
    </row>
    <row r="38" spans="4:12">
      <c r="D38" s="14"/>
      <c r="E38" s="7">
        <v>65</v>
      </c>
      <c r="H38" s="7">
        <v>24</v>
      </c>
      <c r="L38" s="15"/>
    </row>
    <row r="39" spans="4:12">
      <c r="D39" s="14"/>
      <c r="E39" s="7">
        <v>13</v>
      </c>
      <c r="L39" s="15"/>
    </row>
    <row r="40" spans="4:12">
      <c r="D40" s="14"/>
      <c r="L40" s="15"/>
    </row>
    <row r="41" spans="4:12">
      <c r="D41" s="14"/>
      <c r="E41" s="8">
        <f>E38/E39</f>
        <v>5</v>
      </c>
      <c r="H41" s="8">
        <f>H37/H38</f>
        <v>403.25</v>
      </c>
      <c r="L41" s="15"/>
    </row>
    <row r="42" spans="4:12" ht="15" thickBot="1">
      <c r="D42" s="16"/>
      <c r="E42" s="17"/>
      <c r="F42" s="17"/>
      <c r="G42" s="17"/>
      <c r="H42" s="17"/>
      <c r="I42" s="17"/>
      <c r="J42" s="17"/>
      <c r="K42" s="17"/>
      <c r="L42" s="18"/>
    </row>
    <row r="44" spans="4:12" ht="15" thickBot="1"/>
    <row r="45" spans="4:12">
      <c r="D45" s="11"/>
      <c r="E45" s="12"/>
      <c r="F45" s="12"/>
      <c r="G45" s="12"/>
      <c r="H45" s="12"/>
      <c r="I45" s="12"/>
      <c r="J45" s="12"/>
      <c r="K45" s="12"/>
      <c r="L45" s="13"/>
    </row>
    <row r="46" spans="4:12">
      <c r="D46" s="14"/>
      <c r="L46" s="15"/>
    </row>
    <row r="47" spans="4:12">
      <c r="D47" s="14"/>
      <c r="E47" s="19" t="s">
        <v>51</v>
      </c>
      <c r="F47" s="19" t="s">
        <v>52</v>
      </c>
      <c r="G47" s="19" t="s">
        <v>110</v>
      </c>
      <c r="H47" s="19" t="s">
        <v>111</v>
      </c>
      <c r="I47" s="19" t="s">
        <v>112</v>
      </c>
      <c r="L47" s="15"/>
    </row>
    <row r="48" spans="4:12">
      <c r="D48" s="14"/>
      <c r="E48" s="5">
        <v>1</v>
      </c>
      <c r="F48" s="5" t="s">
        <v>71</v>
      </c>
      <c r="G48" s="5">
        <v>600</v>
      </c>
      <c r="H48" s="5">
        <v>528</v>
      </c>
      <c r="I48" s="20">
        <f>(H48/G48)*100</f>
        <v>88</v>
      </c>
      <c r="L48" s="15"/>
    </row>
    <row r="49" spans="4:12">
      <c r="D49" s="14"/>
      <c r="E49" s="5">
        <v>2</v>
      </c>
      <c r="F49" s="5" t="s">
        <v>75</v>
      </c>
      <c r="G49" s="5">
        <v>600</v>
      </c>
      <c r="H49" s="5">
        <v>498</v>
      </c>
      <c r="I49" s="20">
        <f t="shared" ref="I49:I52" si="0">(H49/G49)*100</f>
        <v>83</v>
      </c>
      <c r="L49" s="15"/>
    </row>
    <row r="50" spans="4:12">
      <c r="D50" s="14"/>
      <c r="E50" s="5">
        <v>3</v>
      </c>
      <c r="F50" s="5" t="s">
        <v>113</v>
      </c>
      <c r="G50" s="5">
        <v>600</v>
      </c>
      <c r="H50" s="5">
        <v>573</v>
      </c>
      <c r="I50" s="20">
        <f t="shared" si="0"/>
        <v>95.5</v>
      </c>
      <c r="L50" s="15"/>
    </row>
    <row r="51" spans="4:12">
      <c r="D51" s="14"/>
      <c r="E51" s="5">
        <v>4</v>
      </c>
      <c r="F51" s="5" t="s">
        <v>114</v>
      </c>
      <c r="G51" s="5">
        <v>600</v>
      </c>
      <c r="H51" s="5">
        <v>438</v>
      </c>
      <c r="I51" s="20">
        <f t="shared" si="0"/>
        <v>73</v>
      </c>
      <c r="L51" s="15"/>
    </row>
    <row r="52" spans="4:12">
      <c r="D52" s="14"/>
      <c r="E52" s="5">
        <v>5</v>
      </c>
      <c r="F52" s="5" t="s">
        <v>115</v>
      </c>
      <c r="G52" s="5">
        <v>600</v>
      </c>
      <c r="H52" s="5">
        <v>456</v>
      </c>
      <c r="I52" s="20">
        <f t="shared" si="0"/>
        <v>76</v>
      </c>
      <c r="L52" s="15"/>
    </row>
    <row r="53" spans="4:12" ht="15" thickBot="1">
      <c r="D53" s="16"/>
      <c r="E53" s="17"/>
      <c r="F53" s="17"/>
      <c r="G53" s="17"/>
      <c r="H53" s="17"/>
      <c r="I53" s="17"/>
      <c r="J53" s="17"/>
      <c r="K53" s="17"/>
      <c r="L53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BDA3-F151-4A9F-89BA-E74651E56EE2}">
  <dimension ref="C3:L43"/>
  <sheetViews>
    <sheetView showGridLines="0" workbookViewId="0">
      <selection activeCell="G35" sqref="G35"/>
    </sheetView>
  </sheetViews>
  <sheetFormatPr defaultRowHeight="14.4"/>
  <cols>
    <col min="4" max="4" width="12" bestFit="1" customWidth="1"/>
  </cols>
  <sheetData>
    <row r="3" spans="3:12">
      <c r="C3" s="7" t="s">
        <v>116</v>
      </c>
      <c r="D3" s="7" t="s">
        <v>117</v>
      </c>
      <c r="E3" s="7" t="s">
        <v>118</v>
      </c>
      <c r="H3" s="5" t="s">
        <v>85</v>
      </c>
      <c r="I3" s="5" t="s">
        <v>119</v>
      </c>
      <c r="J3" s="5" t="s">
        <v>120</v>
      </c>
      <c r="K3" s="5" t="s">
        <v>121</v>
      </c>
      <c r="L3" s="5" t="s">
        <v>18</v>
      </c>
    </row>
    <row r="4" spans="3:12">
      <c r="C4" s="7">
        <v>1</v>
      </c>
      <c r="D4" s="7">
        <v>1.4078836768433023</v>
      </c>
      <c r="E4" s="7">
        <f>INT(D4)</f>
        <v>1</v>
      </c>
      <c r="H4" s="5">
        <v>1</v>
      </c>
      <c r="I4" s="5">
        <v>75</v>
      </c>
      <c r="J4" s="5">
        <v>59</v>
      </c>
      <c r="K4" s="5">
        <f>I4-J4</f>
        <v>16</v>
      </c>
      <c r="L4" s="5">
        <f>ABS(K4)</f>
        <v>16</v>
      </c>
    </row>
    <row r="5" spans="3:12">
      <c r="C5" s="7">
        <v>2</v>
      </c>
      <c r="D5" s="7">
        <v>20.866692847820588</v>
      </c>
      <c r="E5" s="7">
        <f t="shared" ref="E5:E13" si="0">INT(D5)</f>
        <v>20</v>
      </c>
      <c r="H5" s="5">
        <v>2</v>
      </c>
      <c r="I5" s="5">
        <v>82</v>
      </c>
      <c r="J5" s="5">
        <v>70</v>
      </c>
      <c r="K5" s="5">
        <f t="shared" ref="K5:K13" si="1">I5-J5</f>
        <v>12</v>
      </c>
      <c r="L5" s="5">
        <f t="shared" ref="L5:L13" si="2">ABS(K5)</f>
        <v>12</v>
      </c>
    </row>
    <row r="6" spans="3:12">
      <c r="C6" s="7">
        <v>3</v>
      </c>
      <c r="D6" s="7">
        <v>86.963072593463053</v>
      </c>
      <c r="E6" s="7">
        <f t="shared" si="0"/>
        <v>86</v>
      </c>
      <c r="H6" s="5">
        <v>3</v>
      </c>
      <c r="I6" s="5">
        <v>82</v>
      </c>
      <c r="J6" s="5">
        <v>67</v>
      </c>
      <c r="K6" s="5">
        <f t="shared" si="1"/>
        <v>15</v>
      </c>
      <c r="L6" s="5">
        <f t="shared" si="2"/>
        <v>15</v>
      </c>
    </row>
    <row r="7" spans="3:12">
      <c r="C7" s="7">
        <v>4</v>
      </c>
      <c r="D7" s="7">
        <v>75.856874154484146</v>
      </c>
      <c r="E7" s="7">
        <f t="shared" si="0"/>
        <v>75</v>
      </c>
      <c r="H7" s="5">
        <v>4</v>
      </c>
      <c r="I7" s="5">
        <v>85</v>
      </c>
      <c r="J7" s="5">
        <v>60</v>
      </c>
      <c r="K7" s="5">
        <f t="shared" si="1"/>
        <v>25</v>
      </c>
      <c r="L7" s="5">
        <f t="shared" si="2"/>
        <v>25</v>
      </c>
    </row>
    <row r="8" spans="3:12">
      <c r="C8" s="7">
        <v>5</v>
      </c>
      <c r="D8" s="7">
        <v>85.434871465105871</v>
      </c>
      <c r="E8" s="7">
        <f t="shared" si="0"/>
        <v>85</v>
      </c>
      <c r="H8" s="5">
        <v>5</v>
      </c>
      <c r="I8" s="5">
        <v>71</v>
      </c>
      <c r="J8" s="5">
        <v>66</v>
      </c>
      <c r="K8" s="5">
        <f t="shared" si="1"/>
        <v>5</v>
      </c>
      <c r="L8" s="5">
        <f t="shared" si="2"/>
        <v>5</v>
      </c>
    </row>
    <row r="9" spans="3:12">
      <c r="C9" s="7">
        <v>6</v>
      </c>
      <c r="D9" s="7">
        <v>39.68962563441206</v>
      </c>
      <c r="E9" s="7">
        <f t="shared" si="0"/>
        <v>39</v>
      </c>
      <c r="H9" s="5">
        <v>6</v>
      </c>
      <c r="I9" s="5">
        <v>87</v>
      </c>
      <c r="J9" s="5">
        <v>85</v>
      </c>
      <c r="K9" s="5">
        <f t="shared" si="1"/>
        <v>2</v>
      </c>
      <c r="L9" s="5">
        <f t="shared" si="2"/>
        <v>2</v>
      </c>
    </row>
    <row r="10" spans="3:12">
      <c r="C10" s="7">
        <v>7</v>
      </c>
      <c r="D10" s="7">
        <v>96.889784436014793</v>
      </c>
      <c r="E10" s="7">
        <f t="shared" si="0"/>
        <v>96</v>
      </c>
      <c r="H10" s="5">
        <v>7</v>
      </c>
      <c r="I10" s="5">
        <v>69</v>
      </c>
      <c r="J10" s="5">
        <v>77</v>
      </c>
      <c r="K10" s="5">
        <f t="shared" si="1"/>
        <v>-8</v>
      </c>
      <c r="L10" s="5">
        <f t="shared" si="2"/>
        <v>8</v>
      </c>
    </row>
    <row r="11" spans="3:12">
      <c r="C11" s="7">
        <v>8</v>
      </c>
      <c r="D11" s="7">
        <v>14.415205978396461</v>
      </c>
      <c r="E11" s="7">
        <f t="shared" si="0"/>
        <v>14</v>
      </c>
      <c r="H11" s="5">
        <v>8</v>
      </c>
      <c r="I11" s="5">
        <v>68</v>
      </c>
      <c r="J11" s="5">
        <v>77</v>
      </c>
      <c r="K11" s="5">
        <f t="shared" si="1"/>
        <v>-9</v>
      </c>
      <c r="L11" s="5">
        <f t="shared" si="2"/>
        <v>9</v>
      </c>
    </row>
    <row r="12" spans="3:12">
      <c r="C12" s="7">
        <v>9</v>
      </c>
      <c r="D12" s="7">
        <v>82.29132032411492</v>
      </c>
      <c r="E12" s="7">
        <f t="shared" si="0"/>
        <v>82</v>
      </c>
      <c r="H12" s="5">
        <v>9</v>
      </c>
      <c r="I12" s="5">
        <v>69</v>
      </c>
      <c r="J12" s="5">
        <v>75</v>
      </c>
      <c r="K12" s="5">
        <f t="shared" si="1"/>
        <v>-6</v>
      </c>
      <c r="L12" s="5">
        <f t="shared" si="2"/>
        <v>6</v>
      </c>
    </row>
    <row r="13" spans="3:12">
      <c r="C13" s="7">
        <v>10</v>
      </c>
      <c r="D13" s="7">
        <v>3.6574879512482061</v>
      </c>
      <c r="E13" s="7">
        <f t="shared" si="0"/>
        <v>3</v>
      </c>
      <c r="H13" s="5">
        <v>10</v>
      </c>
      <c r="I13" s="5">
        <v>78</v>
      </c>
      <c r="J13" s="5">
        <v>65</v>
      </c>
      <c r="K13" s="5">
        <f t="shared" si="1"/>
        <v>13</v>
      </c>
      <c r="L13" s="5">
        <f t="shared" si="2"/>
        <v>13</v>
      </c>
    </row>
    <row r="17" spans="3:9">
      <c r="I17" t="s">
        <v>122</v>
      </c>
    </row>
    <row r="18" spans="3:9">
      <c r="C18" s="21" t="s">
        <v>85</v>
      </c>
      <c r="D18" s="21" t="s">
        <v>123</v>
      </c>
      <c r="E18" s="21" t="s">
        <v>19</v>
      </c>
      <c r="F18" s="21" t="s">
        <v>124</v>
      </c>
    </row>
    <row r="19" spans="3:9">
      <c r="C19" s="21">
        <v>1</v>
      </c>
      <c r="D19" s="21">
        <v>4</v>
      </c>
      <c r="E19" s="21">
        <f>FACT(D19)</f>
        <v>24</v>
      </c>
      <c r="F19" s="21">
        <f>FACTDOUBLE(D19)</f>
        <v>8</v>
      </c>
    </row>
    <row r="20" spans="3:9">
      <c r="C20" s="21">
        <v>2</v>
      </c>
      <c r="D20" s="21">
        <v>5</v>
      </c>
      <c r="E20" s="21">
        <f t="shared" ref="E20:E28" si="3">FACT(D20)</f>
        <v>120</v>
      </c>
      <c r="F20" s="21">
        <f t="shared" ref="F20:F28" si="4">FACTDOUBLE(D20)</f>
        <v>15</v>
      </c>
    </row>
    <row r="21" spans="3:9">
      <c r="C21" s="21">
        <v>3</v>
      </c>
      <c r="D21" s="21">
        <v>8</v>
      </c>
      <c r="E21" s="21">
        <f t="shared" si="3"/>
        <v>40320</v>
      </c>
      <c r="F21" s="21">
        <f t="shared" si="4"/>
        <v>384</v>
      </c>
    </row>
    <row r="22" spans="3:9">
      <c r="C22" s="21">
        <v>4</v>
      </c>
      <c r="D22" s="21">
        <v>1</v>
      </c>
      <c r="E22" s="21">
        <f t="shared" si="3"/>
        <v>1</v>
      </c>
      <c r="F22" s="21">
        <f t="shared" si="4"/>
        <v>1</v>
      </c>
    </row>
    <row r="23" spans="3:9">
      <c r="C23" s="21">
        <v>5</v>
      </c>
      <c r="D23" s="21">
        <v>2</v>
      </c>
      <c r="E23" s="21">
        <f t="shared" si="3"/>
        <v>2</v>
      </c>
      <c r="F23" s="21">
        <f t="shared" si="4"/>
        <v>2</v>
      </c>
    </row>
    <row r="24" spans="3:9">
      <c r="C24" s="21">
        <v>6</v>
      </c>
      <c r="D24" s="21">
        <v>11</v>
      </c>
      <c r="E24" s="21">
        <f>FACT(D24)</f>
        <v>39916800</v>
      </c>
      <c r="F24" s="21">
        <f>FACTDOUBLE(D24)</f>
        <v>10395</v>
      </c>
    </row>
    <row r="25" spans="3:9">
      <c r="C25" s="21">
        <v>7</v>
      </c>
      <c r="D25" s="21">
        <v>3</v>
      </c>
      <c r="E25" s="21">
        <f t="shared" si="3"/>
        <v>6</v>
      </c>
      <c r="F25" s="21">
        <f t="shared" si="4"/>
        <v>3</v>
      </c>
    </row>
    <row r="26" spans="3:9">
      <c r="C26" s="21">
        <v>8</v>
      </c>
      <c r="D26" s="21">
        <v>7</v>
      </c>
      <c r="E26" s="21">
        <f t="shared" si="3"/>
        <v>5040</v>
      </c>
      <c r="F26" s="21">
        <f t="shared" si="4"/>
        <v>105</v>
      </c>
    </row>
    <row r="27" spans="3:9">
      <c r="C27" s="21">
        <v>9</v>
      </c>
      <c r="D27" s="21">
        <v>9</v>
      </c>
      <c r="E27" s="21">
        <f t="shared" si="3"/>
        <v>362880</v>
      </c>
      <c r="F27" s="21">
        <f t="shared" si="4"/>
        <v>945</v>
      </c>
    </row>
    <row r="28" spans="3:9">
      <c r="C28" s="21">
        <v>10</v>
      </c>
      <c r="D28" s="21">
        <v>10</v>
      </c>
      <c r="E28" s="21">
        <f t="shared" si="3"/>
        <v>3628800</v>
      </c>
      <c r="F28" s="21">
        <f t="shared" si="4"/>
        <v>3840</v>
      </c>
    </row>
    <row r="33" spans="3:6">
      <c r="C33" s="7" t="s">
        <v>85</v>
      </c>
      <c r="D33" s="7" t="s">
        <v>123</v>
      </c>
      <c r="E33" s="7" t="s">
        <v>20</v>
      </c>
      <c r="F33" s="7" t="s">
        <v>121</v>
      </c>
    </row>
    <row r="34" spans="3:6">
      <c r="C34" s="7">
        <v>1</v>
      </c>
      <c r="D34" s="7">
        <v>4</v>
      </c>
      <c r="E34" s="7">
        <v>2</v>
      </c>
      <c r="F34" s="7">
        <f>POWER(D34,E34)</f>
        <v>16</v>
      </c>
    </row>
    <row r="35" spans="3:6">
      <c r="C35" s="7">
        <v>2</v>
      </c>
      <c r="D35" s="7">
        <v>5</v>
      </c>
      <c r="E35" s="7">
        <v>3</v>
      </c>
      <c r="F35" s="7">
        <f t="shared" ref="F35:F43" si="5">POWER(D35,E35)</f>
        <v>125</v>
      </c>
    </row>
    <row r="36" spans="3:6">
      <c r="C36" s="7">
        <v>3</v>
      </c>
      <c r="D36" s="7">
        <v>8</v>
      </c>
      <c r="E36" s="7">
        <v>4</v>
      </c>
      <c r="F36" s="7">
        <f t="shared" si="5"/>
        <v>4096</v>
      </c>
    </row>
    <row r="37" spans="3:6">
      <c r="C37" s="7">
        <v>4</v>
      </c>
      <c r="D37" s="7">
        <v>1</v>
      </c>
      <c r="E37" s="7">
        <v>2</v>
      </c>
      <c r="F37" s="7">
        <f t="shared" si="5"/>
        <v>1</v>
      </c>
    </row>
    <row r="38" spans="3:6">
      <c r="C38" s="7">
        <v>5</v>
      </c>
      <c r="D38" s="7">
        <v>2</v>
      </c>
      <c r="E38" s="7">
        <v>3</v>
      </c>
      <c r="F38" s="7">
        <f t="shared" si="5"/>
        <v>8</v>
      </c>
    </row>
    <row r="39" spans="3:6">
      <c r="C39" s="7">
        <v>6</v>
      </c>
      <c r="D39" s="7">
        <v>11</v>
      </c>
      <c r="E39" s="7">
        <v>4</v>
      </c>
      <c r="F39" s="7">
        <f t="shared" si="5"/>
        <v>14641</v>
      </c>
    </row>
    <row r="40" spans="3:6">
      <c r="C40" s="7">
        <v>7</v>
      </c>
      <c r="D40" s="7">
        <v>3</v>
      </c>
      <c r="E40" s="7">
        <v>2</v>
      </c>
      <c r="F40" s="7">
        <f t="shared" si="5"/>
        <v>9</v>
      </c>
    </row>
    <row r="41" spans="3:6">
      <c r="C41" s="7">
        <v>8</v>
      </c>
      <c r="D41" s="7">
        <v>7</v>
      </c>
      <c r="E41" s="7">
        <v>3</v>
      </c>
      <c r="F41" s="7">
        <f t="shared" si="5"/>
        <v>343</v>
      </c>
    </row>
    <row r="42" spans="3:6">
      <c r="C42" s="7">
        <v>9</v>
      </c>
      <c r="D42" s="7">
        <v>9</v>
      </c>
      <c r="E42" s="7">
        <v>4</v>
      </c>
      <c r="F42" s="7">
        <f t="shared" si="5"/>
        <v>6561</v>
      </c>
    </row>
    <row r="43" spans="3:6">
      <c r="C43" s="7">
        <v>10</v>
      </c>
      <c r="D43" s="7">
        <v>10</v>
      </c>
      <c r="E43" s="7">
        <v>2</v>
      </c>
      <c r="F43" s="7">
        <f t="shared" si="5"/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AEA3-3B8D-4FCA-A7EA-8B36B3DB7EB2}">
  <dimension ref="C2:Q41"/>
  <sheetViews>
    <sheetView showGridLines="0" workbookViewId="0">
      <selection activeCell="Q4" sqref="Q4"/>
    </sheetView>
  </sheetViews>
  <sheetFormatPr defaultRowHeight="14.4"/>
  <cols>
    <col min="8" max="8" width="10.77734375" bestFit="1" customWidth="1"/>
  </cols>
  <sheetData>
    <row r="2" spans="3:17">
      <c r="C2" s="7" t="s">
        <v>85</v>
      </c>
      <c r="D2" s="7" t="s">
        <v>117</v>
      </c>
      <c r="E2" s="7" t="s">
        <v>125</v>
      </c>
      <c r="H2" s="7" t="s">
        <v>116</v>
      </c>
      <c r="I2" s="7" t="s">
        <v>123</v>
      </c>
      <c r="J2" s="7" t="s">
        <v>123</v>
      </c>
      <c r="M2" s="7" t="s">
        <v>85</v>
      </c>
      <c r="N2" s="7" t="s">
        <v>123</v>
      </c>
      <c r="O2" s="7" t="s">
        <v>126</v>
      </c>
      <c r="P2" s="7" t="s">
        <v>23</v>
      </c>
      <c r="Q2" s="7" t="s">
        <v>24</v>
      </c>
    </row>
    <row r="3" spans="3:17">
      <c r="C3" s="7">
        <v>1</v>
      </c>
      <c r="D3" s="7">
        <v>4</v>
      </c>
      <c r="E3" s="22">
        <f>SQRT(D3)</f>
        <v>2</v>
      </c>
      <c r="H3" s="7">
        <v>1</v>
      </c>
      <c r="I3" s="23" t="s">
        <v>127</v>
      </c>
      <c r="J3" s="7">
        <f>VALUE(I3)</f>
        <v>5</v>
      </c>
      <c r="M3" s="7">
        <v>1</v>
      </c>
      <c r="N3" s="7">
        <v>1046</v>
      </c>
      <c r="O3" s="7">
        <v>10</v>
      </c>
      <c r="P3" s="7">
        <f>FLOOR(N3,O3)</f>
        <v>1040</v>
      </c>
      <c r="Q3" s="7">
        <f>CEILING(N3,O3)</f>
        <v>1050</v>
      </c>
    </row>
    <row r="4" spans="3:17">
      <c r="C4" s="7">
        <v>2</v>
      </c>
      <c r="D4" s="7">
        <v>309</v>
      </c>
      <c r="E4" s="22">
        <f t="shared" ref="E4:E12" si="0">SQRT(D4)</f>
        <v>17.578395831246947</v>
      </c>
      <c r="H4" s="7">
        <v>2</v>
      </c>
      <c r="I4" s="7">
        <v>309</v>
      </c>
      <c r="J4" s="7">
        <f t="shared" ref="J4:J5" si="1">VALUE(I4)</f>
        <v>309</v>
      </c>
      <c r="M4" s="7">
        <v>2</v>
      </c>
      <c r="N4" s="7">
        <v>1005</v>
      </c>
      <c r="O4" s="7">
        <v>50</v>
      </c>
      <c r="P4" s="7">
        <f t="shared" ref="P4:P12" si="2">FLOOR(N4,O4)</f>
        <v>1000</v>
      </c>
      <c r="Q4" s="7">
        <f t="shared" ref="Q4:Q12" si="3">CEILING(N4,O4)</f>
        <v>1050</v>
      </c>
    </row>
    <row r="5" spans="3:17">
      <c r="C5" s="7">
        <v>3</v>
      </c>
      <c r="D5" s="7">
        <v>156</v>
      </c>
      <c r="E5" s="22">
        <f t="shared" si="0"/>
        <v>12.489995996796797</v>
      </c>
      <c r="H5" s="7">
        <v>3</v>
      </c>
      <c r="I5" s="7">
        <v>1</v>
      </c>
      <c r="J5" s="7">
        <f t="shared" si="1"/>
        <v>1</v>
      </c>
      <c r="M5" s="7">
        <v>3</v>
      </c>
      <c r="N5" s="7">
        <v>1644</v>
      </c>
      <c r="O5" s="7">
        <v>10</v>
      </c>
      <c r="P5" s="7">
        <f t="shared" si="2"/>
        <v>1640</v>
      </c>
      <c r="Q5" s="7">
        <f t="shared" si="3"/>
        <v>1650</v>
      </c>
    </row>
    <row r="6" spans="3:17">
      <c r="C6" s="7">
        <v>4</v>
      </c>
      <c r="D6" s="7">
        <v>25</v>
      </c>
      <c r="E6" s="22">
        <f t="shared" si="0"/>
        <v>5</v>
      </c>
      <c r="H6" s="7" t="s">
        <v>110</v>
      </c>
      <c r="I6" s="7">
        <f>SUM(I3:I5)</f>
        <v>310</v>
      </c>
      <c r="J6" s="7">
        <f>SUM(J3:J5)</f>
        <v>315</v>
      </c>
      <c r="M6" s="7">
        <v>4</v>
      </c>
      <c r="N6" s="7">
        <v>1708</v>
      </c>
      <c r="O6" s="7">
        <v>50</v>
      </c>
      <c r="P6" s="7">
        <f t="shared" si="2"/>
        <v>1700</v>
      </c>
      <c r="Q6" s="7">
        <f t="shared" si="3"/>
        <v>1750</v>
      </c>
    </row>
    <row r="7" spans="3:17">
      <c r="C7" s="7">
        <v>5</v>
      </c>
      <c r="D7" s="7">
        <v>354</v>
      </c>
      <c r="E7" s="22">
        <f t="shared" si="0"/>
        <v>18.814887722226779</v>
      </c>
      <c r="M7" s="7">
        <v>5</v>
      </c>
      <c r="N7" s="7">
        <v>1948</v>
      </c>
      <c r="O7" s="7">
        <v>10</v>
      </c>
      <c r="P7" s="7">
        <f t="shared" si="2"/>
        <v>1940</v>
      </c>
      <c r="Q7" s="7">
        <f t="shared" si="3"/>
        <v>1950</v>
      </c>
    </row>
    <row r="8" spans="3:17">
      <c r="C8" s="7">
        <v>6</v>
      </c>
      <c r="D8" s="7">
        <v>355</v>
      </c>
      <c r="E8" s="22">
        <f t="shared" si="0"/>
        <v>18.841443681416774</v>
      </c>
      <c r="M8" s="7">
        <v>6</v>
      </c>
      <c r="N8" s="7">
        <v>1001</v>
      </c>
      <c r="O8" s="7">
        <v>50</v>
      </c>
      <c r="P8" s="7">
        <f t="shared" si="2"/>
        <v>1000</v>
      </c>
      <c r="Q8" s="7">
        <f t="shared" si="3"/>
        <v>1050</v>
      </c>
    </row>
    <row r="9" spans="3:17">
      <c r="C9" s="7">
        <v>7</v>
      </c>
      <c r="D9" s="7">
        <v>144</v>
      </c>
      <c r="E9" s="22">
        <f t="shared" si="0"/>
        <v>12</v>
      </c>
      <c r="M9" s="7">
        <v>7</v>
      </c>
      <c r="N9" s="7">
        <v>1634</v>
      </c>
      <c r="O9" s="7">
        <v>10</v>
      </c>
      <c r="P9" s="7">
        <f t="shared" si="2"/>
        <v>1630</v>
      </c>
      <c r="Q9" s="7">
        <f t="shared" si="3"/>
        <v>1640</v>
      </c>
    </row>
    <row r="10" spans="3:17">
      <c r="C10" s="7">
        <v>8</v>
      </c>
      <c r="D10" s="7">
        <v>371</v>
      </c>
      <c r="E10" s="22">
        <f t="shared" si="0"/>
        <v>19.261360284258224</v>
      </c>
      <c r="M10" s="7">
        <v>8</v>
      </c>
      <c r="N10" s="7">
        <v>1440</v>
      </c>
      <c r="O10" s="7">
        <v>50</v>
      </c>
      <c r="P10" s="7">
        <f t="shared" si="2"/>
        <v>1400</v>
      </c>
      <c r="Q10" s="7">
        <f t="shared" si="3"/>
        <v>1450</v>
      </c>
    </row>
    <row r="11" spans="3:17">
      <c r="C11" s="7">
        <v>9</v>
      </c>
      <c r="D11" s="7">
        <v>136</v>
      </c>
      <c r="E11" s="22">
        <f t="shared" si="0"/>
        <v>11.661903789690601</v>
      </c>
      <c r="M11" s="7">
        <v>9</v>
      </c>
      <c r="N11" s="7">
        <v>1712</v>
      </c>
      <c r="O11" s="7">
        <v>100</v>
      </c>
      <c r="P11" s="7">
        <f t="shared" si="2"/>
        <v>1700</v>
      </c>
      <c r="Q11" s="7">
        <f t="shared" si="3"/>
        <v>1800</v>
      </c>
    </row>
    <row r="12" spans="3:17">
      <c r="C12" s="7">
        <v>10</v>
      </c>
      <c r="D12" s="7">
        <v>64</v>
      </c>
      <c r="E12" s="22">
        <f t="shared" si="0"/>
        <v>8</v>
      </c>
      <c r="M12" s="7">
        <v>10</v>
      </c>
      <c r="N12" s="7">
        <v>1659</v>
      </c>
      <c r="O12" s="7">
        <v>500</v>
      </c>
      <c r="P12" s="7">
        <f t="shared" si="2"/>
        <v>1500</v>
      </c>
      <c r="Q12" s="7">
        <f t="shared" si="3"/>
        <v>2000</v>
      </c>
    </row>
    <row r="16" spans="3:17">
      <c r="C16" s="7" t="s">
        <v>116</v>
      </c>
      <c r="D16" s="7" t="s">
        <v>123</v>
      </c>
      <c r="E16" s="7" t="s">
        <v>128</v>
      </c>
      <c r="F16" s="7" t="s">
        <v>25</v>
      </c>
      <c r="G16" s="7" t="s">
        <v>129</v>
      </c>
      <c r="H16" s="7" t="s">
        <v>130</v>
      </c>
      <c r="J16" s="7" t="s">
        <v>116</v>
      </c>
      <c r="K16" s="7" t="s">
        <v>123</v>
      </c>
      <c r="L16" s="7" t="s">
        <v>25</v>
      </c>
    </row>
    <row r="17" spans="3:12">
      <c r="C17" s="7">
        <v>1</v>
      </c>
      <c r="D17" s="7">
        <v>26.045000000000002</v>
      </c>
      <c r="E17" s="7">
        <v>0</v>
      </c>
      <c r="F17" s="7">
        <f t="shared" ref="F17:F26" si="4">ROUND(D17,2)</f>
        <v>26.05</v>
      </c>
      <c r="G17" s="7">
        <f t="shared" ref="G17:G26" si="5">ROUNDUP(D17,1)</f>
        <v>26.1</v>
      </c>
      <c r="H17" s="7">
        <f>ROUNDDOWN(D17,E17)</f>
        <v>26</v>
      </c>
      <c r="J17" s="7">
        <v>1</v>
      </c>
      <c r="K17" s="7">
        <v>56.895499999999998</v>
      </c>
      <c r="L17" s="7">
        <f>ROUND(K17,0)</f>
        <v>57</v>
      </c>
    </row>
    <row r="18" spans="3:12">
      <c r="C18" s="7">
        <v>2</v>
      </c>
      <c r="D18" s="7">
        <v>4.3803999999999998</v>
      </c>
      <c r="E18" s="7">
        <v>1</v>
      </c>
      <c r="F18" s="7">
        <f t="shared" si="4"/>
        <v>4.38</v>
      </c>
      <c r="G18" s="7">
        <f t="shared" si="5"/>
        <v>4.3999999999999995</v>
      </c>
      <c r="H18" s="7">
        <f t="shared" ref="H18:H26" si="6">ROUNDDOWN(D18,E18)</f>
        <v>4.3</v>
      </c>
      <c r="J18" s="7">
        <v>2</v>
      </c>
      <c r="K18" s="7">
        <v>18.263999999999999</v>
      </c>
      <c r="L18" s="7">
        <f t="shared" ref="L18:L26" si="7">ROUND(K18,0)</f>
        <v>18</v>
      </c>
    </row>
    <row r="19" spans="3:12">
      <c r="C19" s="7">
        <v>3</v>
      </c>
      <c r="D19" s="7">
        <v>66.489599999999996</v>
      </c>
      <c r="E19" s="7">
        <v>2</v>
      </c>
      <c r="F19" s="7">
        <f t="shared" si="4"/>
        <v>66.489999999999995</v>
      </c>
      <c r="G19" s="7">
        <f t="shared" si="5"/>
        <v>66.5</v>
      </c>
      <c r="H19" s="7">
        <f t="shared" si="6"/>
        <v>66.48</v>
      </c>
      <c r="J19" s="7">
        <v>3</v>
      </c>
      <c r="K19" s="7">
        <v>10.436500000000001</v>
      </c>
      <c r="L19" s="7">
        <f t="shared" si="7"/>
        <v>10</v>
      </c>
    </row>
    <row r="20" spans="3:12">
      <c r="C20" s="7">
        <v>4</v>
      </c>
      <c r="D20" s="7">
        <v>26.310400000000001</v>
      </c>
      <c r="E20" s="7">
        <v>1</v>
      </c>
      <c r="F20" s="7">
        <f t="shared" si="4"/>
        <v>26.31</v>
      </c>
      <c r="G20" s="7">
        <f t="shared" si="5"/>
        <v>26.400000000000002</v>
      </c>
      <c r="H20" s="7">
        <f t="shared" si="6"/>
        <v>26.3</v>
      </c>
      <c r="J20" s="7">
        <v>4</v>
      </c>
      <c r="K20" s="7">
        <v>93.654399999999995</v>
      </c>
      <c r="L20" s="7">
        <f t="shared" si="7"/>
        <v>94</v>
      </c>
    </row>
    <row r="21" spans="3:12">
      <c r="C21" s="7">
        <v>5</v>
      </c>
      <c r="D21" s="7">
        <v>6.2709000000000001</v>
      </c>
      <c r="E21" s="7">
        <v>3</v>
      </c>
      <c r="F21" s="7">
        <f t="shared" si="4"/>
        <v>6.27</v>
      </c>
      <c r="G21" s="7">
        <f t="shared" si="5"/>
        <v>6.3</v>
      </c>
      <c r="H21" s="7">
        <f t="shared" si="6"/>
        <v>6.27</v>
      </c>
      <c r="J21" s="7">
        <v>5</v>
      </c>
      <c r="K21" s="7">
        <v>69.951599999999999</v>
      </c>
      <c r="L21" s="7">
        <f t="shared" si="7"/>
        <v>70</v>
      </c>
    </row>
    <row r="22" spans="3:12">
      <c r="C22" s="7">
        <v>6</v>
      </c>
      <c r="D22" s="7">
        <v>70.795400000000001</v>
      </c>
      <c r="E22" s="7">
        <v>0</v>
      </c>
      <c r="F22" s="7">
        <f t="shared" si="4"/>
        <v>70.8</v>
      </c>
      <c r="G22" s="7">
        <f t="shared" si="5"/>
        <v>70.8</v>
      </c>
      <c r="H22" s="7">
        <f t="shared" si="6"/>
        <v>70</v>
      </c>
      <c r="J22" s="7">
        <v>6</v>
      </c>
      <c r="K22" s="7">
        <v>5.5758999999999999</v>
      </c>
      <c r="L22" s="7">
        <f t="shared" si="7"/>
        <v>6</v>
      </c>
    </row>
    <row r="23" spans="3:12">
      <c r="C23" s="7">
        <v>7</v>
      </c>
      <c r="D23" s="7">
        <v>17.793299999999999</v>
      </c>
      <c r="E23" s="7">
        <v>1</v>
      </c>
      <c r="F23" s="7">
        <f t="shared" si="4"/>
        <v>17.79</v>
      </c>
      <c r="G23" s="7">
        <f t="shared" si="5"/>
        <v>17.8</v>
      </c>
      <c r="H23" s="7">
        <f t="shared" si="6"/>
        <v>17.7</v>
      </c>
      <c r="J23" s="7">
        <v>7</v>
      </c>
      <c r="K23" s="7">
        <v>90.16</v>
      </c>
      <c r="L23" s="7">
        <f t="shared" si="7"/>
        <v>90</v>
      </c>
    </row>
    <row r="24" spans="3:12">
      <c r="C24" s="7">
        <v>8</v>
      </c>
      <c r="D24" s="7">
        <v>5.9170999999999996</v>
      </c>
      <c r="E24" s="7">
        <v>2</v>
      </c>
      <c r="F24" s="7">
        <f t="shared" si="4"/>
        <v>5.92</v>
      </c>
      <c r="G24" s="7">
        <f t="shared" si="5"/>
        <v>6</v>
      </c>
      <c r="H24" s="7">
        <f t="shared" si="6"/>
        <v>5.91</v>
      </c>
      <c r="J24" s="7">
        <v>8</v>
      </c>
      <c r="K24" s="7">
        <v>2.1877</v>
      </c>
      <c r="L24" s="7">
        <f t="shared" si="7"/>
        <v>2</v>
      </c>
    </row>
    <row r="25" spans="3:12">
      <c r="C25" s="7">
        <v>9</v>
      </c>
      <c r="D25" s="7">
        <v>10.4605</v>
      </c>
      <c r="E25" s="7">
        <v>5</v>
      </c>
      <c r="F25" s="7">
        <f t="shared" si="4"/>
        <v>10.46</v>
      </c>
      <c r="G25" s="7">
        <f t="shared" si="5"/>
        <v>10.5</v>
      </c>
      <c r="H25" s="7">
        <f t="shared" si="6"/>
        <v>10.4605</v>
      </c>
      <c r="J25" s="7">
        <v>9</v>
      </c>
      <c r="K25" s="7">
        <v>88.0227</v>
      </c>
      <c r="L25" s="7">
        <f t="shared" si="7"/>
        <v>88</v>
      </c>
    </row>
    <row r="26" spans="3:12">
      <c r="C26" s="7">
        <v>10</v>
      </c>
      <c r="D26" s="7">
        <v>59.688499999999998</v>
      </c>
      <c r="E26" s="7">
        <v>3</v>
      </c>
      <c r="F26" s="7">
        <f t="shared" si="4"/>
        <v>59.69</v>
      </c>
      <c r="G26" s="7">
        <f t="shared" si="5"/>
        <v>59.7</v>
      </c>
      <c r="H26" s="7">
        <f t="shared" si="6"/>
        <v>59.688000000000002</v>
      </c>
      <c r="J26" s="7">
        <v>10</v>
      </c>
      <c r="K26" s="7">
        <v>51.506999999999998</v>
      </c>
      <c r="L26" s="7">
        <f t="shared" si="7"/>
        <v>52</v>
      </c>
    </row>
    <row r="31" spans="3:12">
      <c r="C31" s="7" t="s">
        <v>85</v>
      </c>
      <c r="D31" s="7" t="s">
        <v>123</v>
      </c>
      <c r="E31" s="7" t="s">
        <v>126</v>
      </c>
      <c r="F31" s="7" t="s">
        <v>131</v>
      </c>
    </row>
    <row r="32" spans="3:12">
      <c r="C32" s="7">
        <v>1</v>
      </c>
      <c r="D32" s="7">
        <v>5346.3</v>
      </c>
      <c r="E32" s="7">
        <v>5</v>
      </c>
      <c r="F32" s="7">
        <f>MROUND(D32,E32)</f>
        <v>5345</v>
      </c>
    </row>
    <row r="33" spans="3:6">
      <c r="C33" s="7">
        <v>2</v>
      </c>
      <c r="D33" s="7">
        <v>6794.8</v>
      </c>
      <c r="E33" s="7">
        <v>10</v>
      </c>
      <c r="F33" s="7">
        <f t="shared" ref="F33:F41" si="8">MROUND(D33,E33)</f>
        <v>6790</v>
      </c>
    </row>
    <row r="34" spans="3:6">
      <c r="C34" s="7">
        <v>3</v>
      </c>
      <c r="D34" s="7">
        <v>799.8</v>
      </c>
      <c r="E34" s="7">
        <v>100</v>
      </c>
      <c r="F34" s="7">
        <f t="shared" si="8"/>
        <v>800</v>
      </c>
    </row>
    <row r="35" spans="3:6">
      <c r="C35" s="7">
        <v>4</v>
      </c>
      <c r="D35" s="7">
        <v>8540.1</v>
      </c>
      <c r="E35" s="7">
        <v>50</v>
      </c>
      <c r="F35" s="7">
        <f t="shared" si="8"/>
        <v>8550</v>
      </c>
    </row>
    <row r="36" spans="3:6">
      <c r="C36" s="7">
        <v>5</v>
      </c>
      <c r="D36" s="7">
        <v>7246.7</v>
      </c>
      <c r="E36" s="7">
        <v>60</v>
      </c>
      <c r="F36" s="7">
        <f t="shared" si="8"/>
        <v>7260</v>
      </c>
    </row>
    <row r="37" spans="3:6">
      <c r="C37" s="7">
        <v>6</v>
      </c>
      <c r="D37" s="7">
        <v>77.7</v>
      </c>
      <c r="E37" s="7">
        <v>10</v>
      </c>
      <c r="F37" s="7">
        <f t="shared" si="8"/>
        <v>80</v>
      </c>
    </row>
    <row r="38" spans="3:6">
      <c r="C38" s="7">
        <v>7</v>
      </c>
      <c r="D38" s="7">
        <v>1282.9000000000001</v>
      </c>
      <c r="E38" s="7">
        <v>5</v>
      </c>
      <c r="F38" s="7">
        <f t="shared" si="8"/>
        <v>1285</v>
      </c>
    </row>
    <row r="39" spans="3:6">
      <c r="C39" s="7">
        <v>8</v>
      </c>
      <c r="D39" s="7">
        <v>7070.2</v>
      </c>
      <c r="E39" s="7">
        <v>15</v>
      </c>
      <c r="F39" s="7">
        <f t="shared" si="8"/>
        <v>7065</v>
      </c>
    </row>
    <row r="40" spans="3:6">
      <c r="C40" s="7">
        <v>9</v>
      </c>
      <c r="D40" s="7">
        <v>6422.9</v>
      </c>
      <c r="E40" s="7">
        <v>20</v>
      </c>
      <c r="F40" s="7">
        <f t="shared" si="8"/>
        <v>6420</v>
      </c>
    </row>
    <row r="41" spans="3:6">
      <c r="C41" s="7">
        <v>10</v>
      </c>
      <c r="D41" s="7">
        <v>5393.1</v>
      </c>
      <c r="E41" s="7">
        <v>30</v>
      </c>
      <c r="F41" s="7">
        <f t="shared" si="8"/>
        <v>5400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4E3D-7474-422D-9B50-F45324D8A44E}">
  <dimension ref="D4:E23"/>
  <sheetViews>
    <sheetView showGridLines="0" workbookViewId="0">
      <selection activeCell="D18" sqref="D18"/>
    </sheetView>
  </sheetViews>
  <sheetFormatPr defaultRowHeight="14.4"/>
  <sheetData>
    <row r="4" spans="4:5">
      <c r="D4" s="19" t="s">
        <v>132</v>
      </c>
      <c r="E4" s="19" t="s">
        <v>26</v>
      </c>
    </row>
    <row r="5" spans="4:5">
      <c r="D5" s="7" t="s">
        <v>133</v>
      </c>
      <c r="E5" s="7" t="b">
        <f>ISBLANK(D5)</f>
        <v>0</v>
      </c>
    </row>
    <row r="6" spans="4:5">
      <c r="D6" s="7" t="s">
        <v>95</v>
      </c>
      <c r="E6" s="7" t="b">
        <f t="shared" ref="E6:E10" si="0">ISBLANK(D6)</f>
        <v>0</v>
      </c>
    </row>
    <row r="7" spans="4:5">
      <c r="D7" s="7">
        <v>123456</v>
      </c>
      <c r="E7" s="7" t="b">
        <f t="shared" si="0"/>
        <v>0</v>
      </c>
    </row>
    <row r="8" spans="4:5">
      <c r="D8" s="7"/>
      <c r="E8" s="7" t="b">
        <f t="shared" si="0"/>
        <v>1</v>
      </c>
    </row>
    <row r="9" spans="4:5">
      <c r="D9" s="23" t="s">
        <v>134</v>
      </c>
      <c r="E9" s="7" t="b">
        <f t="shared" si="0"/>
        <v>0</v>
      </c>
    </row>
    <row r="10" spans="4:5">
      <c r="D10" s="7" t="s">
        <v>135</v>
      </c>
      <c r="E10" s="7" t="b">
        <f t="shared" si="0"/>
        <v>0</v>
      </c>
    </row>
    <row r="14" spans="4:5">
      <c r="D14" t="s">
        <v>136</v>
      </c>
    </row>
    <row r="17" spans="4:5">
      <c r="D17" s="19" t="s">
        <v>85</v>
      </c>
      <c r="E17" s="19" t="s">
        <v>52</v>
      </c>
    </row>
    <row r="18" spans="4:5">
      <c r="D18" s="7">
        <v>1</v>
      </c>
      <c r="E18" s="7" t="s">
        <v>137</v>
      </c>
    </row>
    <row r="19" spans="4:5">
      <c r="D19" s="7">
        <f>IF(ISBLANK(E19),"",D18+1)</f>
        <v>2</v>
      </c>
      <c r="E19" s="7" t="s">
        <v>138</v>
      </c>
    </row>
    <row r="20" spans="4:5">
      <c r="D20" s="7">
        <f t="shared" ref="D20:D23" si="1">IF(ISBLANK(E20),"",D19+1)</f>
        <v>3</v>
      </c>
      <c r="E20" s="7" t="s">
        <v>92</v>
      </c>
    </row>
    <row r="21" spans="4:5">
      <c r="D21" s="7">
        <f>IF(ISBLANK(E21),"",D20+1)</f>
        <v>4</v>
      </c>
      <c r="E21" s="7" t="s">
        <v>114</v>
      </c>
    </row>
    <row r="22" spans="4:5">
      <c r="D22" s="7">
        <f t="shared" si="1"/>
        <v>5</v>
      </c>
      <c r="E22" s="7" t="s">
        <v>139</v>
      </c>
    </row>
    <row r="23" spans="4:5">
      <c r="D23" s="7">
        <f t="shared" si="1"/>
        <v>6</v>
      </c>
      <c r="E23" s="7" t="s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4F7C-19BA-4E7C-A2BC-90D051BC57E0}">
  <dimension ref="C3:N7"/>
  <sheetViews>
    <sheetView showGridLines="0" workbookViewId="0">
      <selection activeCell="N7" sqref="N7"/>
    </sheetView>
  </sheetViews>
  <sheetFormatPr defaultRowHeight="14.4"/>
  <sheetData>
    <row r="3" spans="3:14">
      <c r="C3" t="s">
        <v>141</v>
      </c>
      <c r="J3" t="s">
        <v>142</v>
      </c>
    </row>
    <row r="5" spans="3:14">
      <c r="C5" s="7">
        <f>C7+D7+E7+F7+G7</f>
        <v>22</v>
      </c>
      <c r="J5" s="7">
        <f>J7+K7+L7+M7+N7</f>
        <v>22</v>
      </c>
    </row>
    <row r="7" spans="3:14">
      <c r="C7" s="7">
        <v>2</v>
      </c>
      <c r="D7" s="7">
        <v>3</v>
      </c>
      <c r="E7" s="7">
        <v>4</v>
      </c>
      <c r="F7" s="7">
        <v>5</v>
      </c>
      <c r="G7" s="7">
        <v>8</v>
      </c>
      <c r="J7" s="7">
        <v>2</v>
      </c>
      <c r="K7" s="7">
        <v>3</v>
      </c>
      <c r="L7" s="7">
        <v>4</v>
      </c>
      <c r="M7" s="7">
        <v>5</v>
      </c>
      <c r="N7" s="7">
        <v>8</v>
      </c>
    </row>
  </sheetData>
  <dataConsolidate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5E92-D593-4FB7-91AF-4EC4DDFEE877}">
  <dimension ref="D4:H15"/>
  <sheetViews>
    <sheetView showGridLines="0" workbookViewId="0">
      <selection activeCell="H6" sqref="H6"/>
    </sheetView>
  </sheetViews>
  <sheetFormatPr defaultRowHeight="14.4"/>
  <sheetData>
    <row r="4" spans="4:8">
      <c r="D4" s="24" t="s">
        <v>52</v>
      </c>
      <c r="E4" s="24" t="s">
        <v>143</v>
      </c>
    </row>
    <row r="5" spans="4:8">
      <c r="D5" s="7" t="s">
        <v>144</v>
      </c>
      <c r="E5" s="7">
        <v>2969</v>
      </c>
      <c r="G5" s="7" t="s">
        <v>29</v>
      </c>
      <c r="H5" s="7">
        <f>LARGE(E5:E15,2)</f>
        <v>4183</v>
      </c>
    </row>
    <row r="6" spans="4:8">
      <c r="D6" s="7" t="s">
        <v>113</v>
      </c>
      <c r="E6" s="7">
        <v>2654</v>
      </c>
      <c r="G6" s="7" t="s">
        <v>30</v>
      </c>
      <c r="H6" s="7">
        <f>SMALL(E5:E15,2)</f>
        <v>2654</v>
      </c>
    </row>
    <row r="7" spans="4:8">
      <c r="D7" s="7" t="s">
        <v>76</v>
      </c>
      <c r="E7" s="7">
        <v>2918</v>
      </c>
    </row>
    <row r="8" spans="4:8">
      <c r="D8" s="7" t="s">
        <v>138</v>
      </c>
      <c r="E8" s="7">
        <v>2341</v>
      </c>
    </row>
    <row r="9" spans="4:8">
      <c r="D9" s="7" t="s">
        <v>92</v>
      </c>
      <c r="E9" s="7">
        <v>2953</v>
      </c>
    </row>
    <row r="10" spans="4:8">
      <c r="D10" s="7" t="s">
        <v>114</v>
      </c>
      <c r="E10" s="7">
        <v>3706</v>
      </c>
    </row>
    <row r="11" spans="4:8">
      <c r="D11" s="7" t="s">
        <v>139</v>
      </c>
      <c r="E11" s="7">
        <v>4726</v>
      </c>
    </row>
    <row r="12" spans="4:8">
      <c r="D12" s="7" t="s">
        <v>140</v>
      </c>
      <c r="E12" s="7">
        <v>4183</v>
      </c>
    </row>
    <row r="13" spans="4:8">
      <c r="D13" s="7" t="s">
        <v>145</v>
      </c>
      <c r="E13" s="7">
        <v>4163</v>
      </c>
    </row>
    <row r="14" spans="4:8">
      <c r="D14" s="7" t="s">
        <v>77</v>
      </c>
      <c r="E14" s="7">
        <v>2961</v>
      </c>
    </row>
    <row r="15" spans="4:8">
      <c r="D15" s="7" t="s">
        <v>146</v>
      </c>
      <c r="E15" s="7">
        <v>4106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9D03-8374-4639-8719-84F96CA9F6D2}">
  <dimension ref="C5:I14"/>
  <sheetViews>
    <sheetView showGridLines="0" workbookViewId="0">
      <selection activeCell="I11" sqref="I11"/>
    </sheetView>
  </sheetViews>
  <sheetFormatPr defaultRowHeight="14.4"/>
  <sheetData>
    <row r="5" spans="3:9">
      <c r="C5" s="25" t="s">
        <v>52</v>
      </c>
      <c r="D5" s="25" t="s">
        <v>147</v>
      </c>
      <c r="E5" s="25" t="s">
        <v>148</v>
      </c>
      <c r="F5" s="25" t="s">
        <v>149</v>
      </c>
    </row>
    <row r="6" spans="3:9">
      <c r="C6" s="7" t="s">
        <v>150</v>
      </c>
      <c r="D6" s="7">
        <v>9</v>
      </c>
      <c r="E6" s="7" t="s">
        <v>151</v>
      </c>
      <c r="F6" s="7">
        <v>32</v>
      </c>
    </row>
    <row r="7" spans="3:9">
      <c r="C7" s="7" t="s">
        <v>152</v>
      </c>
      <c r="D7" s="7">
        <v>13</v>
      </c>
      <c r="E7" s="7" t="s">
        <v>153</v>
      </c>
      <c r="F7" s="7">
        <v>29</v>
      </c>
      <c r="H7" t="s">
        <v>31</v>
      </c>
      <c r="I7">
        <f>ROW(C8)</f>
        <v>8</v>
      </c>
    </row>
    <row r="8" spans="3:9">
      <c r="C8" s="7" t="s">
        <v>154</v>
      </c>
      <c r="D8" s="7">
        <v>8</v>
      </c>
      <c r="E8" s="7" t="s">
        <v>155</v>
      </c>
      <c r="F8" s="7">
        <v>41</v>
      </c>
      <c r="H8" t="s">
        <v>32</v>
      </c>
      <c r="I8">
        <f>ROWS(C8:C12)</f>
        <v>5</v>
      </c>
    </row>
    <row r="9" spans="3:9">
      <c r="C9" s="7" t="s">
        <v>156</v>
      </c>
      <c r="D9" s="7">
        <v>6</v>
      </c>
      <c r="E9" s="7" t="s">
        <v>157</v>
      </c>
      <c r="F9" s="7">
        <v>40</v>
      </c>
      <c r="H9" t="s">
        <v>34</v>
      </c>
      <c r="I9">
        <f>COLUMN(E8)</f>
        <v>5</v>
      </c>
    </row>
    <row r="10" spans="3:9">
      <c r="C10" s="7" t="s">
        <v>150</v>
      </c>
      <c r="D10" s="7">
        <v>7</v>
      </c>
      <c r="E10" s="7" t="s">
        <v>151</v>
      </c>
      <c r="F10" s="7">
        <v>45</v>
      </c>
      <c r="H10" t="s">
        <v>33</v>
      </c>
      <c r="I10">
        <f>COLUMNS(C10:F10)</f>
        <v>4</v>
      </c>
    </row>
    <row r="11" spans="3:9">
      <c r="C11" s="7" t="s">
        <v>152</v>
      </c>
      <c r="D11" s="7">
        <v>11</v>
      </c>
      <c r="E11" s="7" t="s">
        <v>153</v>
      </c>
      <c r="F11" s="7">
        <v>9</v>
      </c>
    </row>
    <row r="12" spans="3:9">
      <c r="C12" s="7" t="s">
        <v>154</v>
      </c>
      <c r="D12" s="7">
        <v>5</v>
      </c>
      <c r="E12" s="7" t="s">
        <v>155</v>
      </c>
      <c r="F12" s="7">
        <v>36</v>
      </c>
    </row>
    <row r="13" spans="3:9">
      <c r="C13" s="7" t="s">
        <v>156</v>
      </c>
      <c r="D13" s="7">
        <v>9</v>
      </c>
      <c r="E13" s="7" t="s">
        <v>157</v>
      </c>
      <c r="F13" s="7">
        <v>43</v>
      </c>
    </row>
    <row r="14" spans="3:9">
      <c r="C14" s="7" t="s">
        <v>150</v>
      </c>
      <c r="D14" s="7">
        <v>1</v>
      </c>
      <c r="E14" s="7" t="s">
        <v>151</v>
      </c>
      <c r="F14" s="7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40BB-8A3B-4C5A-8F91-CD10767F2EA2}">
  <dimension ref="B4:F21"/>
  <sheetViews>
    <sheetView showGridLines="0" workbookViewId="0">
      <selection activeCell="D6" sqref="D6"/>
    </sheetView>
  </sheetViews>
  <sheetFormatPr defaultRowHeight="14.4"/>
  <cols>
    <col min="3" max="3" width="23.6640625" bestFit="1" customWidth="1"/>
    <col min="5" max="6" width="11.77734375" bestFit="1" customWidth="1"/>
  </cols>
  <sheetData>
    <row r="4" spans="2:6" ht="15" thickBot="1"/>
    <row r="5" spans="2:6" ht="15" thickBot="1">
      <c r="B5" s="26" t="s">
        <v>85</v>
      </c>
      <c r="C5" s="27" t="s">
        <v>158</v>
      </c>
      <c r="D5" s="27" t="s">
        <v>159</v>
      </c>
      <c r="E5" s="27" t="s">
        <v>160</v>
      </c>
      <c r="F5" s="27" t="s">
        <v>160</v>
      </c>
    </row>
    <row r="6" spans="2:6" ht="15" thickBot="1">
      <c r="B6" s="28">
        <v>1</v>
      </c>
      <c r="C6" s="31" t="s">
        <v>203</v>
      </c>
      <c r="D6" s="30" t="s">
        <v>161</v>
      </c>
      <c r="E6" s="31">
        <f>FIND(D6,C6,2)</f>
        <v>8</v>
      </c>
      <c r="F6" s="31"/>
    </row>
    <row r="7" spans="2:6" ht="15" thickBot="1">
      <c r="B7" s="28">
        <v>2</v>
      </c>
      <c r="C7" s="31" t="s">
        <v>203</v>
      </c>
      <c r="D7" s="30" t="s">
        <v>162</v>
      </c>
      <c r="E7" s="31" t="e">
        <f>FIND(D7,C7)</f>
        <v>#VALUE!</v>
      </c>
      <c r="F7" s="31"/>
    </row>
    <row r="8" spans="2:6" ht="15" thickBot="1">
      <c r="B8" s="28">
        <v>3</v>
      </c>
      <c r="C8" s="31" t="s">
        <v>203</v>
      </c>
      <c r="D8" s="30" t="s">
        <v>163</v>
      </c>
      <c r="E8" s="31" t="e">
        <f>FIND(D8,C8)</f>
        <v>#VALUE!</v>
      </c>
      <c r="F8" s="31"/>
    </row>
    <row r="9" spans="2:6" ht="15" thickBot="1">
      <c r="B9" s="28">
        <v>4</v>
      </c>
      <c r="C9" s="31" t="s">
        <v>203</v>
      </c>
      <c r="D9" s="30" t="s">
        <v>164</v>
      </c>
      <c r="E9" s="31">
        <f>FIND(D9,C9)</f>
        <v>3</v>
      </c>
      <c r="F9" s="31"/>
    </row>
    <row r="10" spans="2:6" ht="15" thickBot="1">
      <c r="B10" s="28">
        <v>5</v>
      </c>
      <c r="C10" s="31" t="s">
        <v>203</v>
      </c>
      <c r="D10" s="30" t="s">
        <v>165</v>
      </c>
      <c r="E10" s="31" t="e">
        <f>FIND(D10,C10)</f>
        <v>#VALUE!</v>
      </c>
      <c r="F10" s="31"/>
    </row>
    <row r="11" spans="2:6" ht="15" thickBot="1">
      <c r="B11" s="28">
        <v>6</v>
      </c>
      <c r="C11" s="31" t="s">
        <v>203</v>
      </c>
      <c r="D11" s="30" t="s">
        <v>166</v>
      </c>
      <c r="E11" s="31">
        <f t="shared" ref="E11" si="0">FIND(D11,C11)</f>
        <v>4</v>
      </c>
      <c r="F11" s="31"/>
    </row>
    <row r="14" spans="2:6" ht="15" thickBot="1"/>
    <row r="15" spans="2:6" ht="15" thickBot="1">
      <c r="B15" s="26" t="s">
        <v>85</v>
      </c>
      <c r="C15" s="27" t="s">
        <v>158</v>
      </c>
      <c r="D15" s="27" t="s">
        <v>159</v>
      </c>
      <c r="E15" s="27" t="s">
        <v>160</v>
      </c>
      <c r="F15" s="27" t="s">
        <v>160</v>
      </c>
    </row>
    <row r="16" spans="2:6" ht="15" thickBot="1">
      <c r="B16" s="28">
        <v>1</v>
      </c>
      <c r="C16" s="31" t="s">
        <v>203</v>
      </c>
      <c r="D16" s="30" t="s">
        <v>161</v>
      </c>
      <c r="E16" s="31">
        <f>SEARCH(D16,C16,2)</f>
        <v>8</v>
      </c>
      <c r="F16" s="31"/>
    </row>
    <row r="17" spans="2:6" ht="15" thickBot="1">
      <c r="B17" s="28">
        <v>2</v>
      </c>
      <c r="C17" s="31" t="s">
        <v>203</v>
      </c>
      <c r="D17" s="30" t="s">
        <v>162</v>
      </c>
      <c r="E17" s="31" t="e">
        <f>SEARCH(D17,C17)</f>
        <v>#VALUE!</v>
      </c>
      <c r="F17" s="31"/>
    </row>
    <row r="18" spans="2:6" ht="15" thickBot="1">
      <c r="B18" s="28">
        <v>3</v>
      </c>
      <c r="C18" s="31" t="s">
        <v>203</v>
      </c>
      <c r="D18" s="30" t="s">
        <v>163</v>
      </c>
      <c r="E18" s="31">
        <f t="shared" ref="E18:E21" si="1">SEARCH(D18,C18)</f>
        <v>20</v>
      </c>
      <c r="F18" s="31"/>
    </row>
    <row r="19" spans="2:6" ht="15" thickBot="1">
      <c r="B19" s="28">
        <v>4</v>
      </c>
      <c r="C19" s="31" t="s">
        <v>203</v>
      </c>
      <c r="D19" s="30"/>
      <c r="E19" s="31">
        <f t="shared" si="1"/>
        <v>1</v>
      </c>
      <c r="F19" s="31"/>
    </row>
    <row r="20" spans="2:6" ht="15" thickBot="1">
      <c r="B20" s="28">
        <v>5</v>
      </c>
      <c r="C20" s="31" t="s">
        <v>203</v>
      </c>
      <c r="D20" s="30" t="s">
        <v>165</v>
      </c>
      <c r="E20" s="31" t="e">
        <f t="shared" si="1"/>
        <v>#VALUE!</v>
      </c>
      <c r="F20" s="31"/>
    </row>
    <row r="21" spans="2:6" ht="15" thickBot="1">
      <c r="B21" s="28">
        <v>6</v>
      </c>
      <c r="C21" s="31" t="s">
        <v>203</v>
      </c>
      <c r="D21" s="30" t="s">
        <v>166</v>
      </c>
      <c r="E21" s="31">
        <f t="shared" si="1"/>
        <v>4</v>
      </c>
      <c r="F21" s="3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7E60-D1A7-4B30-8665-54E37248145F}">
  <dimension ref="C6:O19"/>
  <sheetViews>
    <sheetView showGridLines="0" workbookViewId="0">
      <selection activeCell="K12" sqref="K12"/>
    </sheetView>
  </sheetViews>
  <sheetFormatPr defaultRowHeight="14.4"/>
  <cols>
    <col min="11" max="11" width="9.88671875" bestFit="1" customWidth="1"/>
  </cols>
  <sheetData>
    <row r="6" spans="3:15" ht="15" thickBot="1"/>
    <row r="7" spans="3:15" ht="15" thickBot="1">
      <c r="C7" s="32" t="s">
        <v>85</v>
      </c>
      <c r="D7" s="33" t="s">
        <v>167</v>
      </c>
      <c r="E7" s="33" t="s">
        <v>168</v>
      </c>
      <c r="F7" s="33" t="s">
        <v>169</v>
      </c>
      <c r="G7" s="33" t="s">
        <v>170</v>
      </c>
      <c r="H7" s="33" t="s">
        <v>110</v>
      </c>
      <c r="M7" s="34" t="s">
        <v>85</v>
      </c>
      <c r="N7" s="35" t="s">
        <v>171</v>
      </c>
      <c r="O7" s="35" t="s">
        <v>172</v>
      </c>
    </row>
    <row r="8" spans="3:15" ht="15" thickBot="1">
      <c r="C8" s="28">
        <v>1</v>
      </c>
      <c r="D8" s="29">
        <v>2015</v>
      </c>
      <c r="E8" s="29" t="s">
        <v>173</v>
      </c>
      <c r="F8" s="29">
        <v>155</v>
      </c>
      <c r="G8" s="29">
        <v>3651</v>
      </c>
      <c r="H8" s="29">
        <v>3806</v>
      </c>
      <c r="M8" s="36">
        <v>1</v>
      </c>
      <c r="N8" s="37" t="e">
        <f>NA()</f>
        <v>#N/A</v>
      </c>
      <c r="O8" s="38" t="b">
        <f>ISERROR(N8)</f>
        <v>1</v>
      </c>
    </row>
    <row r="9" spans="3:15" ht="15" thickBot="1">
      <c r="C9" s="28">
        <v>2</v>
      </c>
      <c r="D9" s="29">
        <v>2015</v>
      </c>
      <c r="E9" s="29" t="s">
        <v>174</v>
      </c>
      <c r="F9" s="29">
        <v>244</v>
      </c>
      <c r="G9" s="29">
        <v>4451</v>
      </c>
      <c r="H9" s="29">
        <v>4695</v>
      </c>
      <c r="M9" s="36">
        <v>2</v>
      </c>
      <c r="N9" s="37" t="e">
        <v>#NAME?</v>
      </c>
      <c r="O9" s="38" t="b">
        <f t="shared" ref="O9:O16" si="0">ISERROR(N9)</f>
        <v>1</v>
      </c>
    </row>
    <row r="10" spans="3:15" ht="15" thickBot="1">
      <c r="C10" s="28">
        <v>3</v>
      </c>
      <c r="D10" s="29">
        <v>2015</v>
      </c>
      <c r="E10" s="29" t="s">
        <v>175</v>
      </c>
      <c r="F10" s="29">
        <v>148</v>
      </c>
      <c r="G10" s="29">
        <v>2252</v>
      </c>
      <c r="H10" s="29">
        <v>2400</v>
      </c>
      <c r="K10" s="43" t="s">
        <v>176</v>
      </c>
      <c r="M10" s="36">
        <v>3</v>
      </c>
      <c r="N10" s="37" t="e">
        <v>#REF!</v>
      </c>
      <c r="O10" s="38" t="b">
        <f t="shared" si="0"/>
        <v>1</v>
      </c>
    </row>
    <row r="11" spans="3:15" ht="15" thickBot="1">
      <c r="C11" s="28">
        <v>4</v>
      </c>
      <c r="D11" s="29">
        <v>2016</v>
      </c>
      <c r="E11" s="29" t="s">
        <v>173</v>
      </c>
      <c r="F11" s="29">
        <v>200</v>
      </c>
      <c r="G11" s="29">
        <v>1141</v>
      </c>
      <c r="H11" s="29">
        <v>1341</v>
      </c>
      <c r="M11" s="36">
        <v>4</v>
      </c>
      <c r="N11" s="37">
        <v>12345</v>
      </c>
      <c r="O11" s="38" t="b">
        <f t="shared" si="0"/>
        <v>0</v>
      </c>
    </row>
    <row r="12" spans="3:15" ht="15" thickBot="1">
      <c r="C12" s="28">
        <v>5</v>
      </c>
      <c r="D12" s="29">
        <v>2016</v>
      </c>
      <c r="E12" s="29" t="s">
        <v>174</v>
      </c>
      <c r="F12" s="29">
        <v>119</v>
      </c>
      <c r="G12" s="29">
        <v>4911</v>
      </c>
      <c r="H12" s="29">
        <v>5030</v>
      </c>
      <c r="J12" s="41">
        <v>2019</v>
      </c>
      <c r="K12" s="42" t="str">
        <f>IFERROR(AVERAGEIF(D8:D19,J12,F8:F19),"Not Found")</f>
        <v>Not Found</v>
      </c>
      <c r="M12" s="36">
        <v>5</v>
      </c>
      <c r="N12" s="37" t="e">
        <v>#DIV/0!</v>
      </c>
      <c r="O12" s="38" t="b">
        <f t="shared" si="0"/>
        <v>1</v>
      </c>
    </row>
    <row r="13" spans="3:15" ht="15" thickBot="1">
      <c r="C13" s="28">
        <v>6</v>
      </c>
      <c r="D13" s="29">
        <v>2016</v>
      </c>
      <c r="E13" s="29" t="s">
        <v>175</v>
      </c>
      <c r="F13" s="29">
        <v>109</v>
      </c>
      <c r="G13" s="29">
        <v>1008</v>
      </c>
      <c r="H13" s="29">
        <v>1117</v>
      </c>
      <c r="M13" s="36">
        <v>6</v>
      </c>
      <c r="N13" s="39" t="s">
        <v>177</v>
      </c>
      <c r="O13" s="38" t="b">
        <f t="shared" si="0"/>
        <v>0</v>
      </c>
    </row>
    <row r="14" spans="3:15" ht="15" thickBot="1">
      <c r="C14" s="28">
        <v>7</v>
      </c>
      <c r="D14" s="29">
        <v>2017</v>
      </c>
      <c r="E14" s="29" t="s">
        <v>173</v>
      </c>
      <c r="F14" s="29">
        <v>224</v>
      </c>
      <c r="G14" s="29">
        <v>3387</v>
      </c>
      <c r="H14" s="29">
        <v>3611</v>
      </c>
      <c r="M14" s="36">
        <v>7</v>
      </c>
      <c r="N14" s="37" t="e">
        <v>#VALUE!</v>
      </c>
      <c r="O14" s="38" t="b">
        <f t="shared" si="0"/>
        <v>1</v>
      </c>
    </row>
    <row r="15" spans="3:15" ht="15" thickBot="1">
      <c r="C15" s="28">
        <v>8</v>
      </c>
      <c r="D15" s="29">
        <v>2017</v>
      </c>
      <c r="E15" s="29" t="s">
        <v>174</v>
      </c>
      <c r="F15" s="29">
        <v>224</v>
      </c>
      <c r="G15" s="29">
        <v>4312</v>
      </c>
      <c r="H15" s="29">
        <v>4536</v>
      </c>
      <c r="M15" s="36">
        <v>8</v>
      </c>
      <c r="N15" s="40"/>
      <c r="O15" s="38" t="b">
        <f t="shared" si="0"/>
        <v>0</v>
      </c>
    </row>
    <row r="16" spans="3:15" ht="15" thickBot="1">
      <c r="C16" s="28">
        <v>9</v>
      </c>
      <c r="D16" s="29">
        <v>2017</v>
      </c>
      <c r="E16" s="29" t="s">
        <v>175</v>
      </c>
      <c r="F16" s="29">
        <v>115</v>
      </c>
      <c r="G16" s="29">
        <v>3341</v>
      </c>
      <c r="H16" s="29">
        <v>3456</v>
      </c>
      <c r="M16" s="36">
        <v>9</v>
      </c>
      <c r="N16" s="37" t="e">
        <v>#NUM!</v>
      </c>
      <c r="O16" s="38" t="b">
        <f t="shared" si="0"/>
        <v>1</v>
      </c>
    </row>
    <row r="17" spans="3:8" ht="15" thickBot="1">
      <c r="C17" s="28">
        <v>10</v>
      </c>
      <c r="D17" s="29">
        <v>2018</v>
      </c>
      <c r="E17" s="29" t="s">
        <v>173</v>
      </c>
      <c r="F17" s="29">
        <v>241</v>
      </c>
      <c r="G17" s="29">
        <v>1567</v>
      </c>
      <c r="H17" s="29">
        <v>1808</v>
      </c>
    </row>
    <row r="18" spans="3:8" ht="15" thickBot="1">
      <c r="C18" s="28">
        <v>11</v>
      </c>
      <c r="D18" s="29">
        <v>2018</v>
      </c>
      <c r="E18" s="29" t="s">
        <v>174</v>
      </c>
      <c r="F18" s="29">
        <v>168</v>
      </c>
      <c r="G18" s="29">
        <v>3544</v>
      </c>
      <c r="H18" s="29">
        <v>3712</v>
      </c>
    </row>
    <row r="19" spans="3:8" ht="15" thickBot="1">
      <c r="C19" s="28">
        <v>12</v>
      </c>
      <c r="D19" s="29">
        <v>2018</v>
      </c>
      <c r="E19" s="29" t="s">
        <v>175</v>
      </c>
      <c r="F19" s="29">
        <v>199</v>
      </c>
      <c r="G19" s="29">
        <v>3871</v>
      </c>
      <c r="H19" s="29">
        <v>4070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8D31-708A-40DA-81FB-FBC8F228B9E9}">
  <dimension ref="C4:I16"/>
  <sheetViews>
    <sheetView showGridLines="0" workbookViewId="0">
      <selection activeCell="K5" sqref="K5"/>
    </sheetView>
  </sheetViews>
  <sheetFormatPr defaultRowHeight="14.4"/>
  <cols>
    <col min="4" max="4" width="17.6640625" bestFit="1" customWidth="1"/>
    <col min="9" max="9" width="9.33203125" bestFit="1" customWidth="1"/>
  </cols>
  <sheetData>
    <row r="4" spans="3:9">
      <c r="C4" s="5" t="s">
        <v>85</v>
      </c>
      <c r="D4" s="5" t="s">
        <v>123</v>
      </c>
      <c r="E4" s="5" t="s">
        <v>39</v>
      </c>
      <c r="F4" s="7" t="s">
        <v>178</v>
      </c>
      <c r="G4" s="5" t="s">
        <v>40</v>
      </c>
      <c r="H4" s="7" t="s">
        <v>179</v>
      </c>
      <c r="I4" s="7" t="s">
        <v>180</v>
      </c>
    </row>
    <row r="5" spans="3:9">
      <c r="C5" s="5">
        <v>1</v>
      </c>
      <c r="D5" s="5">
        <v>25</v>
      </c>
      <c r="E5" s="5" t="b">
        <f>ISODD(D5)</f>
        <v>1</v>
      </c>
      <c r="F5" s="7" t="str">
        <f>IF(ISODD(D5),"Odd","Even")</f>
        <v>Odd</v>
      </c>
      <c r="G5" s="7" t="b">
        <f t="shared" ref="G5:G16" si="0">ISEVEN(D5)</f>
        <v>0</v>
      </c>
      <c r="H5" s="7" t="b">
        <f>ISTEXT(D5)</f>
        <v>0</v>
      </c>
      <c r="I5" s="7" t="b">
        <f t="shared" ref="I5:I16" si="1">ISNONTEXT(D5)</f>
        <v>1</v>
      </c>
    </row>
    <row r="6" spans="3:9">
      <c r="C6" s="5">
        <v>2</v>
      </c>
      <c r="D6" s="5">
        <v>42</v>
      </c>
      <c r="E6" s="5" t="b">
        <f t="shared" ref="E6:E16" si="2">ISODD(D6)</f>
        <v>0</v>
      </c>
      <c r="F6" s="7" t="str">
        <f t="shared" ref="F6:F16" si="3">IF(ISODD(D6),"Odd","Even")</f>
        <v>Even</v>
      </c>
      <c r="G6" s="7" t="b">
        <f t="shared" si="0"/>
        <v>1</v>
      </c>
      <c r="H6" s="7" t="b">
        <f t="shared" ref="H6:H16" si="4">ISTEXT(D6)</f>
        <v>0</v>
      </c>
      <c r="I6" s="7" t="b">
        <f t="shared" si="1"/>
        <v>1</v>
      </c>
    </row>
    <row r="7" spans="3:9">
      <c r="C7" s="5">
        <v>3</v>
      </c>
      <c r="D7" s="44" t="s">
        <v>181</v>
      </c>
      <c r="E7" s="5" t="e">
        <f t="shared" si="2"/>
        <v>#VALUE!</v>
      </c>
      <c r="F7" s="7" t="e">
        <f t="shared" si="3"/>
        <v>#VALUE!</v>
      </c>
      <c r="G7" s="7" t="e">
        <f t="shared" si="0"/>
        <v>#VALUE!</v>
      </c>
      <c r="H7" s="7" t="b">
        <f t="shared" si="4"/>
        <v>1</v>
      </c>
      <c r="I7" s="7" t="b">
        <f t="shared" si="1"/>
        <v>0</v>
      </c>
    </row>
    <row r="8" spans="3:9">
      <c r="C8" s="5">
        <v>4</v>
      </c>
      <c r="D8" s="5" t="s">
        <v>182</v>
      </c>
      <c r="E8" s="5" t="e">
        <f t="shared" si="2"/>
        <v>#VALUE!</v>
      </c>
      <c r="F8" s="7" t="e">
        <f t="shared" si="3"/>
        <v>#VALUE!</v>
      </c>
      <c r="G8" s="7" t="e">
        <f t="shared" si="0"/>
        <v>#VALUE!</v>
      </c>
      <c r="H8" s="7" t="b">
        <f t="shared" si="4"/>
        <v>1</v>
      </c>
      <c r="I8" s="7" t="b">
        <f t="shared" si="1"/>
        <v>0</v>
      </c>
    </row>
    <row r="9" spans="3:9">
      <c r="C9" s="5">
        <v>5</v>
      </c>
      <c r="D9" s="45">
        <v>0.80902777777777779</v>
      </c>
      <c r="E9" s="5" t="b">
        <f t="shared" si="2"/>
        <v>0</v>
      </c>
      <c r="F9" s="7" t="str">
        <f t="shared" si="3"/>
        <v>Even</v>
      </c>
      <c r="G9" s="7" t="b">
        <f t="shared" si="0"/>
        <v>1</v>
      </c>
      <c r="H9" s="7" t="b">
        <f t="shared" si="4"/>
        <v>0</v>
      </c>
      <c r="I9" s="7" t="b">
        <f t="shared" si="1"/>
        <v>1</v>
      </c>
    </row>
    <row r="10" spans="3:9">
      <c r="C10" s="5">
        <v>6</v>
      </c>
      <c r="D10" s="5" t="s">
        <v>177</v>
      </c>
      <c r="E10" s="5" t="e">
        <f t="shared" si="2"/>
        <v>#VALUE!</v>
      </c>
      <c r="F10" s="7" t="e">
        <f t="shared" si="3"/>
        <v>#VALUE!</v>
      </c>
      <c r="G10" s="7" t="e">
        <f t="shared" si="0"/>
        <v>#VALUE!</v>
      </c>
      <c r="H10" s="7" t="b">
        <f t="shared" si="4"/>
        <v>1</v>
      </c>
      <c r="I10" s="7" t="b">
        <f t="shared" si="1"/>
        <v>0</v>
      </c>
    </row>
    <row r="11" spans="3:9">
      <c r="C11" s="5">
        <v>7</v>
      </c>
      <c r="D11" s="5">
        <v>365</v>
      </c>
      <c r="E11" s="5" t="b">
        <f t="shared" si="2"/>
        <v>1</v>
      </c>
      <c r="F11" s="7" t="str">
        <f t="shared" si="3"/>
        <v>Odd</v>
      </c>
      <c r="G11" s="7" t="b">
        <f t="shared" si="0"/>
        <v>0</v>
      </c>
      <c r="H11" s="7" t="b">
        <f t="shared" si="4"/>
        <v>0</v>
      </c>
      <c r="I11" s="7" t="b">
        <f t="shared" si="1"/>
        <v>1</v>
      </c>
    </row>
    <row r="12" spans="3:9">
      <c r="C12" s="5">
        <v>8</v>
      </c>
      <c r="D12" s="5">
        <v>52.68</v>
      </c>
      <c r="E12" s="5" t="b">
        <f t="shared" si="2"/>
        <v>0</v>
      </c>
      <c r="F12" s="7" t="str">
        <f t="shared" si="3"/>
        <v>Even</v>
      </c>
      <c r="G12" s="7" t="b">
        <f t="shared" si="0"/>
        <v>1</v>
      </c>
      <c r="H12" s="7" t="b">
        <f t="shared" si="4"/>
        <v>0</v>
      </c>
      <c r="I12" s="7" t="b">
        <f t="shared" si="1"/>
        <v>1</v>
      </c>
    </row>
    <row r="13" spans="3:9">
      <c r="C13" s="5">
        <v>9</v>
      </c>
      <c r="D13" s="5">
        <v>101.68</v>
      </c>
      <c r="E13" s="5" t="b">
        <f t="shared" si="2"/>
        <v>1</v>
      </c>
      <c r="F13" s="7" t="str">
        <f t="shared" si="3"/>
        <v>Odd</v>
      </c>
      <c r="G13" s="7" t="b">
        <f t="shared" si="0"/>
        <v>0</v>
      </c>
      <c r="H13" s="7" t="b">
        <f t="shared" si="4"/>
        <v>0</v>
      </c>
      <c r="I13" s="7" t="b">
        <f t="shared" si="1"/>
        <v>1</v>
      </c>
    </row>
    <row r="14" spans="3:9">
      <c r="C14" s="5">
        <v>10</v>
      </c>
      <c r="D14" s="5" t="s">
        <v>183</v>
      </c>
      <c r="E14" s="5" t="e">
        <f t="shared" si="2"/>
        <v>#VALUE!</v>
      </c>
      <c r="F14" s="7" t="e">
        <f t="shared" si="3"/>
        <v>#VALUE!</v>
      </c>
      <c r="G14" s="7" t="e">
        <f t="shared" si="0"/>
        <v>#VALUE!</v>
      </c>
      <c r="H14" s="7" t="b">
        <f t="shared" si="4"/>
        <v>1</v>
      </c>
      <c r="I14" s="7" t="b">
        <f t="shared" si="1"/>
        <v>0</v>
      </c>
    </row>
    <row r="15" spans="3:9">
      <c r="C15" s="5">
        <v>11</v>
      </c>
      <c r="D15" s="5" t="s">
        <v>184</v>
      </c>
      <c r="E15" s="5" t="e">
        <f t="shared" si="2"/>
        <v>#VALUE!</v>
      </c>
      <c r="F15" s="7" t="e">
        <f t="shared" si="3"/>
        <v>#VALUE!</v>
      </c>
      <c r="G15" s="7" t="e">
        <f t="shared" si="0"/>
        <v>#VALUE!</v>
      </c>
      <c r="H15" s="7" t="b">
        <f t="shared" si="4"/>
        <v>1</v>
      </c>
      <c r="I15" s="7" t="b">
        <f t="shared" si="1"/>
        <v>0</v>
      </c>
    </row>
    <row r="16" spans="3:9">
      <c r="C16" s="5">
        <v>12</v>
      </c>
      <c r="D16" s="5">
        <v>63</v>
      </c>
      <c r="E16" s="5" t="b">
        <f t="shared" si="2"/>
        <v>1</v>
      </c>
      <c r="F16" s="7" t="str">
        <f t="shared" si="3"/>
        <v>Odd</v>
      </c>
      <c r="G16" s="7" t="b">
        <f t="shared" si="0"/>
        <v>0</v>
      </c>
      <c r="H16" s="7" t="b">
        <f t="shared" si="4"/>
        <v>0</v>
      </c>
      <c r="I16" s="7" t="b">
        <f t="shared" si="1"/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8928-7599-4095-855D-7EDB180B8806}">
  <dimension ref="C3:M28"/>
  <sheetViews>
    <sheetView showGridLines="0" workbookViewId="0">
      <selection activeCell="M7" sqref="M7"/>
    </sheetView>
  </sheetViews>
  <sheetFormatPr defaultRowHeight="14.4"/>
  <cols>
    <col min="4" max="4" width="10.33203125" bestFit="1" customWidth="1"/>
    <col min="5" max="5" width="9.88671875" bestFit="1" customWidth="1"/>
    <col min="8" max="8" width="10.88671875" bestFit="1" customWidth="1"/>
    <col min="11" max="11" width="17.5546875" bestFit="1" customWidth="1"/>
  </cols>
  <sheetData>
    <row r="3" spans="3:13" ht="15" thickBot="1"/>
    <row r="4" spans="3:13" ht="15" thickBot="1">
      <c r="C4" s="5" t="s">
        <v>85</v>
      </c>
      <c r="D4" s="5" t="s">
        <v>171</v>
      </c>
      <c r="E4" s="5" t="s">
        <v>185</v>
      </c>
      <c r="G4" s="46" t="s">
        <v>85</v>
      </c>
      <c r="H4" s="47" t="s">
        <v>186</v>
      </c>
      <c r="J4" s="48" t="s">
        <v>85</v>
      </c>
      <c r="K4" s="49" t="s">
        <v>171</v>
      </c>
      <c r="L4" s="49" t="s">
        <v>187</v>
      </c>
    </row>
    <row r="5" spans="3:13" ht="15" thickBot="1">
      <c r="C5" s="5">
        <v>1</v>
      </c>
      <c r="D5" s="50">
        <v>43246</v>
      </c>
      <c r="E5" s="5">
        <f>N(D5)</f>
        <v>43246</v>
      </c>
      <c r="G5" s="36">
        <v>1</v>
      </c>
      <c r="H5" s="38" t="e">
        <f>NA()</f>
        <v>#N/A</v>
      </c>
      <c r="J5" s="28">
        <v>1</v>
      </c>
      <c r="K5" s="30" t="e">
        <v>#N/A</v>
      </c>
      <c r="L5" s="31" t="b">
        <f>ISNA(K5)</f>
        <v>1</v>
      </c>
      <c r="M5" t="str">
        <f>IF(ISNA(K5),"yes","No")</f>
        <v>yes</v>
      </c>
    </row>
    <row r="6" spans="3:13" ht="15" thickBot="1">
      <c r="C6" s="5">
        <v>2</v>
      </c>
      <c r="D6" s="50">
        <v>43247</v>
      </c>
      <c r="E6" s="5">
        <f t="shared" ref="E6:E13" si="0">N(D6)</f>
        <v>43247</v>
      </c>
      <c r="G6" s="36">
        <v>2</v>
      </c>
      <c r="H6" s="38" t="e">
        <f>NA()</f>
        <v>#N/A</v>
      </c>
      <c r="J6" s="28">
        <v>2</v>
      </c>
      <c r="K6" s="30" t="s">
        <v>188</v>
      </c>
      <c r="L6" s="31" t="b">
        <f t="shared" ref="L6:L14" si="1">ISNA(K6)</f>
        <v>0</v>
      </c>
      <c r="M6" t="str">
        <f t="shared" ref="M6:M14" si="2">IF(ISNA(K6),"yes","No")</f>
        <v>No</v>
      </c>
    </row>
    <row r="7" spans="3:13" ht="15" thickBot="1">
      <c r="C7" s="5">
        <v>3</v>
      </c>
      <c r="D7" s="50">
        <v>43248</v>
      </c>
      <c r="E7" s="5">
        <f t="shared" si="0"/>
        <v>43248</v>
      </c>
      <c r="G7" s="36">
        <v>3</v>
      </c>
      <c r="H7" s="38" t="e">
        <f>NA()</f>
        <v>#N/A</v>
      </c>
      <c r="J7" s="28">
        <v>3</v>
      </c>
      <c r="K7" s="30" t="e">
        <v>#DIV/0!</v>
      </c>
      <c r="L7" s="31" t="b">
        <f t="shared" si="1"/>
        <v>0</v>
      </c>
      <c r="M7" t="str">
        <f t="shared" si="2"/>
        <v>No</v>
      </c>
    </row>
    <row r="8" spans="3:13" ht="15" thickBot="1">
      <c r="C8" s="5">
        <v>4</v>
      </c>
      <c r="D8" s="50">
        <v>43249</v>
      </c>
      <c r="E8" s="5">
        <f t="shared" si="0"/>
        <v>43249</v>
      </c>
      <c r="G8" s="36">
        <v>4</v>
      </c>
      <c r="H8" s="38" t="e">
        <f>NA()</f>
        <v>#N/A</v>
      </c>
      <c r="J8" s="28">
        <v>4</v>
      </c>
      <c r="K8" s="30" t="s">
        <v>189</v>
      </c>
      <c r="L8" s="31" t="b">
        <f t="shared" si="1"/>
        <v>0</v>
      </c>
      <c r="M8" t="str">
        <f t="shared" si="2"/>
        <v>No</v>
      </c>
    </row>
    <row r="9" spans="3:13" ht="15" thickBot="1">
      <c r="C9" s="5">
        <v>5</v>
      </c>
      <c r="D9" s="50">
        <v>43250</v>
      </c>
      <c r="E9" s="5">
        <f t="shared" si="0"/>
        <v>43250</v>
      </c>
      <c r="G9" s="36">
        <v>5</v>
      </c>
      <c r="H9" s="38" t="e">
        <f>NA()</f>
        <v>#N/A</v>
      </c>
      <c r="J9" s="28">
        <v>5</v>
      </c>
      <c r="K9" s="30" t="s">
        <v>190</v>
      </c>
      <c r="L9" s="31" t="b">
        <f t="shared" si="1"/>
        <v>0</v>
      </c>
      <c r="M9" t="str">
        <f t="shared" si="2"/>
        <v>No</v>
      </c>
    </row>
    <row r="10" spans="3:13" ht="15" thickBot="1">
      <c r="C10" s="5">
        <v>6</v>
      </c>
      <c r="D10" s="50">
        <v>43251</v>
      </c>
      <c r="E10" s="5">
        <f t="shared" si="0"/>
        <v>43251</v>
      </c>
      <c r="J10" s="28">
        <v>6</v>
      </c>
      <c r="K10" s="51">
        <v>0.54722222222222217</v>
      </c>
      <c r="L10" s="31" t="b">
        <f t="shared" si="1"/>
        <v>0</v>
      </c>
      <c r="M10" t="str">
        <f t="shared" si="2"/>
        <v>No</v>
      </c>
    </row>
    <row r="11" spans="3:13" ht="15" thickBot="1">
      <c r="C11" s="5">
        <v>7</v>
      </c>
      <c r="D11" s="50">
        <v>43106</v>
      </c>
      <c r="E11" s="5">
        <f t="shared" si="0"/>
        <v>43106</v>
      </c>
      <c r="J11" s="28">
        <v>7</v>
      </c>
      <c r="K11" s="30" t="e">
        <v>#N/A</v>
      </c>
      <c r="L11" s="31" t="b">
        <f t="shared" si="1"/>
        <v>1</v>
      </c>
      <c r="M11" t="str">
        <f t="shared" si="2"/>
        <v>yes</v>
      </c>
    </row>
    <row r="12" spans="3:13" ht="15" thickBot="1">
      <c r="C12" s="5">
        <v>8</v>
      </c>
      <c r="D12" s="50">
        <v>43137</v>
      </c>
      <c r="E12" s="5">
        <f t="shared" si="0"/>
        <v>43137</v>
      </c>
      <c r="J12" s="28">
        <v>8</v>
      </c>
      <c r="K12" s="30">
        <v>9999616615</v>
      </c>
      <c r="L12" s="31" t="b">
        <f t="shared" si="1"/>
        <v>0</v>
      </c>
      <c r="M12" t="str">
        <f t="shared" si="2"/>
        <v>No</v>
      </c>
    </row>
    <row r="13" spans="3:13" ht="15" thickBot="1">
      <c r="C13" s="5">
        <v>9</v>
      </c>
      <c r="D13" s="50">
        <v>43165</v>
      </c>
      <c r="E13" s="5">
        <f t="shared" si="0"/>
        <v>43165</v>
      </c>
      <c r="J13" s="28">
        <v>9</v>
      </c>
      <c r="K13" s="52"/>
      <c r="L13" s="31" t="b">
        <f t="shared" si="1"/>
        <v>0</v>
      </c>
      <c r="M13" t="str">
        <f t="shared" si="2"/>
        <v>No</v>
      </c>
    </row>
    <row r="14" spans="3:13" ht="15" thickBot="1">
      <c r="J14" s="28">
        <v>10</v>
      </c>
      <c r="K14" s="30" t="e">
        <v>#NUM!</v>
      </c>
      <c r="L14" s="31" t="b">
        <f t="shared" si="1"/>
        <v>0</v>
      </c>
      <c r="M14" t="str">
        <f t="shared" si="2"/>
        <v>No</v>
      </c>
    </row>
    <row r="17" spans="3:5" ht="15" thickBot="1"/>
    <row r="18" spans="3:5" ht="15" thickBot="1">
      <c r="C18" s="48" t="s">
        <v>85</v>
      </c>
      <c r="D18" s="49" t="s">
        <v>171</v>
      </c>
      <c r="E18" s="49" t="s">
        <v>191</v>
      </c>
    </row>
    <row r="19" spans="3:5" ht="15" thickBot="1">
      <c r="C19" s="28">
        <v>1</v>
      </c>
      <c r="D19" s="30" t="e">
        <f>NA()</f>
        <v>#N/A</v>
      </c>
      <c r="E19" s="31" t="str">
        <f>_xlfn.IFNA(D19,"Not Found")</f>
        <v>Not Found</v>
      </c>
    </row>
    <row r="20" spans="3:5" ht="15" thickBot="1">
      <c r="C20" s="28">
        <v>2</v>
      </c>
      <c r="D20" s="30" t="s">
        <v>177</v>
      </c>
      <c r="E20" s="31" t="str">
        <f t="shared" ref="E20:E28" si="3">_xlfn.IFNA(D20,"Not Found")</f>
        <v>Hello</v>
      </c>
    </row>
    <row r="21" spans="3:5" ht="15" thickBot="1">
      <c r="C21" s="28">
        <v>3</v>
      </c>
      <c r="D21" s="30" t="e">
        <f>NA()</f>
        <v>#N/A</v>
      </c>
      <c r="E21" s="31" t="str">
        <f t="shared" si="3"/>
        <v>Not Found</v>
      </c>
    </row>
    <row r="22" spans="3:5" ht="15" thickBot="1">
      <c r="C22" s="28">
        <v>4</v>
      </c>
      <c r="D22" s="30" t="e">
        <f>NA()</f>
        <v>#N/A</v>
      </c>
      <c r="E22" s="31" t="str">
        <f t="shared" si="3"/>
        <v>Not Found</v>
      </c>
    </row>
    <row r="23" spans="3:5" ht="15" thickBot="1">
      <c r="C23" s="28">
        <v>5</v>
      </c>
      <c r="D23" s="30">
        <v>12345</v>
      </c>
      <c r="E23" s="31">
        <f t="shared" si="3"/>
        <v>12345</v>
      </c>
    </row>
    <row r="24" spans="3:5" ht="15" thickBot="1">
      <c r="C24" s="28">
        <v>6</v>
      </c>
      <c r="D24" s="30" t="e">
        <f>NA()</f>
        <v>#N/A</v>
      </c>
      <c r="E24" s="31" t="str">
        <f t="shared" si="3"/>
        <v>Not Found</v>
      </c>
    </row>
    <row r="25" spans="3:5" ht="15" thickBot="1">
      <c r="C25" s="28">
        <v>7</v>
      </c>
      <c r="D25" s="30" t="e">
        <f>NA()</f>
        <v>#N/A</v>
      </c>
      <c r="E25" s="31" t="str">
        <f t="shared" si="3"/>
        <v>Not Found</v>
      </c>
    </row>
    <row r="26" spans="3:5" ht="15" thickBot="1">
      <c r="C26" s="28">
        <v>8</v>
      </c>
      <c r="D26" s="53" t="s">
        <v>192</v>
      </c>
      <c r="E26" s="31" t="str">
        <f t="shared" si="3"/>
        <v>@@@@@</v>
      </c>
    </row>
    <row r="27" spans="3:5" ht="15" thickBot="1">
      <c r="C27" s="28">
        <v>9</v>
      </c>
      <c r="D27" s="30" t="e">
        <f>NA()</f>
        <v>#N/A</v>
      </c>
      <c r="E27" s="31" t="str">
        <f t="shared" si="3"/>
        <v>Not Found</v>
      </c>
    </row>
    <row r="28" spans="3:5" ht="15" thickBot="1">
      <c r="C28" s="28">
        <v>10</v>
      </c>
      <c r="D28" s="30" t="e">
        <f>NA()</f>
        <v>#N/A</v>
      </c>
      <c r="E28" s="31" t="str">
        <f t="shared" si="3"/>
        <v>Not Found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8D4F-3CD2-4B4E-A78B-D8618F2EB1BD}">
  <dimension ref="C3:O14"/>
  <sheetViews>
    <sheetView showGridLines="0" workbookViewId="0">
      <selection activeCell="H11" sqref="H11"/>
    </sheetView>
  </sheetViews>
  <sheetFormatPr defaultRowHeight="14.4"/>
  <cols>
    <col min="4" max="4" width="17.5546875" bestFit="1" customWidth="1"/>
    <col min="5" max="5" width="9.77734375" bestFit="1" customWidth="1"/>
  </cols>
  <sheetData>
    <row r="3" spans="3:15" ht="15" thickBot="1"/>
    <row r="4" spans="3:15" ht="15" thickBot="1">
      <c r="C4" s="54" t="s">
        <v>85</v>
      </c>
      <c r="D4" s="55" t="s">
        <v>171</v>
      </c>
      <c r="E4" s="55" t="s">
        <v>193</v>
      </c>
      <c r="H4" s="34" t="s">
        <v>85</v>
      </c>
      <c r="I4" s="35" t="s">
        <v>171</v>
      </c>
      <c r="J4" s="35" t="s">
        <v>194</v>
      </c>
      <c r="L4" s="56" t="s">
        <v>85</v>
      </c>
      <c r="M4" s="57" t="s">
        <v>171</v>
      </c>
      <c r="N4" s="57" t="s">
        <v>195</v>
      </c>
    </row>
    <row r="5" spans="3:15" ht="15" thickBot="1">
      <c r="C5" s="28">
        <v>1</v>
      </c>
      <c r="D5" s="29" t="b">
        <f>50&gt;100</f>
        <v>0</v>
      </c>
      <c r="E5" s="31" t="b">
        <f>ISLOGICAL(D5)</f>
        <v>1</v>
      </c>
      <c r="H5" s="36">
        <v>1</v>
      </c>
      <c r="I5" s="37" t="e">
        <f>NA()</f>
        <v>#N/A</v>
      </c>
      <c r="J5" s="38" t="b">
        <f>ISERR(I5)</f>
        <v>0</v>
      </c>
      <c r="L5" s="36">
        <v>1</v>
      </c>
      <c r="M5" s="37" t="e">
        <f>NA()</f>
        <v>#N/A</v>
      </c>
      <c r="N5" s="38" t="b">
        <f>ISREF(M5)</f>
        <v>1</v>
      </c>
    </row>
    <row r="6" spans="3:15" ht="15" thickBot="1">
      <c r="C6" s="28">
        <v>2</v>
      </c>
      <c r="D6" s="29">
        <v>1520</v>
      </c>
      <c r="E6" s="31" t="b">
        <f t="shared" ref="E6:E14" si="0">ISLOGICAL(D6)</f>
        <v>0</v>
      </c>
      <c r="H6" s="36">
        <v>2</v>
      </c>
      <c r="I6" s="37" t="e">
        <v>#NAME?</v>
      </c>
      <c r="J6" s="38" t="b">
        <f t="shared" ref="J6:J13" si="1">ISERR(I6)</f>
        <v>1</v>
      </c>
      <c r="L6" s="36">
        <v>2</v>
      </c>
      <c r="M6" s="37" t="e">
        <v>#NAME?</v>
      </c>
      <c r="N6" s="38" t="b">
        <f t="shared" ref="N6:N13" si="2">ISREF(M6)</f>
        <v>1</v>
      </c>
      <c r="O6" t="s">
        <v>196</v>
      </c>
    </row>
    <row r="7" spans="3:15" ht="15" thickBot="1">
      <c r="C7" s="28">
        <v>3</v>
      </c>
      <c r="D7" s="29" t="s">
        <v>177</v>
      </c>
      <c r="E7" s="31" t="b">
        <f t="shared" si="0"/>
        <v>0</v>
      </c>
      <c r="H7" s="36">
        <v>3</v>
      </c>
      <c r="I7" s="37" t="e">
        <v>#REF!</v>
      </c>
      <c r="J7" s="38" t="b">
        <f t="shared" si="1"/>
        <v>1</v>
      </c>
      <c r="L7" s="36">
        <v>3</v>
      </c>
      <c r="M7" s="37" t="e">
        <v>#REF!</v>
      </c>
      <c r="N7" s="38" t="b">
        <f t="shared" si="2"/>
        <v>1</v>
      </c>
      <c r="O7" t="b">
        <f>ISREF(UPPER("amit Surera"))</f>
        <v>0</v>
      </c>
    </row>
    <row r="8" spans="3:15" ht="15" thickBot="1">
      <c r="C8" s="28">
        <v>4</v>
      </c>
      <c r="D8" s="29" t="b">
        <f>96&gt;90</f>
        <v>1</v>
      </c>
      <c r="E8" s="31" t="b">
        <f t="shared" si="0"/>
        <v>1</v>
      </c>
      <c r="H8" s="36">
        <v>4</v>
      </c>
      <c r="I8" s="37">
        <v>12345</v>
      </c>
      <c r="J8" s="38" t="b">
        <f t="shared" si="1"/>
        <v>0</v>
      </c>
      <c r="L8" s="36">
        <v>4</v>
      </c>
      <c r="M8" s="37">
        <v>12345</v>
      </c>
      <c r="N8" s="38" t="b">
        <f t="shared" si="2"/>
        <v>1</v>
      </c>
    </row>
    <row r="9" spans="3:15" ht="15" thickBot="1">
      <c r="C9" s="28">
        <v>5</v>
      </c>
      <c r="D9" s="29" t="s">
        <v>197</v>
      </c>
      <c r="E9" s="31" t="b">
        <f t="shared" si="0"/>
        <v>0</v>
      </c>
      <c r="H9" s="36">
        <v>5</v>
      </c>
      <c r="I9" s="37" t="e">
        <v>#DIV/0!</v>
      </c>
      <c r="J9" s="38" t="b">
        <f t="shared" si="1"/>
        <v>1</v>
      </c>
      <c r="L9" s="36">
        <v>5</v>
      </c>
      <c r="M9" s="37" t="e">
        <v>#DIV/0!</v>
      </c>
      <c r="N9" s="38" t="b">
        <f t="shared" si="2"/>
        <v>1</v>
      </c>
    </row>
    <row r="10" spans="3:15" ht="15" thickBot="1">
      <c r="C10" s="28">
        <v>6</v>
      </c>
      <c r="D10" s="29" t="s">
        <v>188</v>
      </c>
      <c r="E10" s="31" t="b">
        <f t="shared" si="0"/>
        <v>0</v>
      </c>
      <c r="H10" s="36">
        <v>6</v>
      </c>
      <c r="I10" s="39" t="s">
        <v>177</v>
      </c>
      <c r="J10" s="38" t="b">
        <f t="shared" si="1"/>
        <v>0</v>
      </c>
      <c r="L10" s="36">
        <v>6</v>
      </c>
      <c r="M10" s="39" t="s">
        <v>177</v>
      </c>
      <c r="N10" s="38" t="b">
        <f t="shared" si="2"/>
        <v>1</v>
      </c>
    </row>
    <row r="11" spans="3:15" ht="15" thickBot="1">
      <c r="C11" s="28">
        <v>7</v>
      </c>
      <c r="D11" s="29">
        <v>56</v>
      </c>
      <c r="E11" s="31" t="b">
        <f t="shared" si="0"/>
        <v>0</v>
      </c>
      <c r="H11" s="36">
        <v>7</v>
      </c>
      <c r="I11" s="37" t="e">
        <v>#VALUE!</v>
      </c>
      <c r="J11" s="38" t="b">
        <f t="shared" si="1"/>
        <v>1</v>
      </c>
      <c r="L11" s="36">
        <v>7</v>
      </c>
      <c r="M11" s="37" t="e">
        <v>#VALUE!</v>
      </c>
      <c r="N11" s="38" t="b">
        <f t="shared" si="2"/>
        <v>1</v>
      </c>
    </row>
    <row r="12" spans="3:15" ht="15" thickBot="1">
      <c r="C12" s="28">
        <v>8</v>
      </c>
      <c r="D12" s="58">
        <v>0.8569444444444444</v>
      </c>
      <c r="E12" s="31" t="b">
        <f t="shared" si="0"/>
        <v>0</v>
      </c>
      <c r="H12" s="36">
        <v>8</v>
      </c>
      <c r="I12" s="40"/>
      <c r="J12" s="38" t="b">
        <f t="shared" si="1"/>
        <v>0</v>
      </c>
      <c r="L12" s="36">
        <v>8</v>
      </c>
      <c r="M12" s="40"/>
      <c r="N12" s="38" t="b">
        <f t="shared" si="2"/>
        <v>1</v>
      </c>
    </row>
    <row r="13" spans="3:15" ht="15" thickBot="1">
      <c r="C13" s="28">
        <v>9</v>
      </c>
      <c r="D13" s="29">
        <v>32</v>
      </c>
      <c r="E13" s="31" t="b">
        <f t="shared" si="0"/>
        <v>0</v>
      </c>
      <c r="H13" s="36">
        <v>9</v>
      </c>
      <c r="I13" s="37" t="e">
        <v>#NUM!</v>
      </c>
      <c r="J13" s="38" t="b">
        <f t="shared" si="1"/>
        <v>1</v>
      </c>
      <c r="L13" s="36">
        <v>9</v>
      </c>
      <c r="M13" s="37" t="e">
        <v>#NUM!</v>
      </c>
      <c r="N13" s="38" t="b">
        <f t="shared" si="2"/>
        <v>1</v>
      </c>
    </row>
    <row r="14" spans="3:15" ht="15" thickBot="1">
      <c r="C14" s="28">
        <v>10</v>
      </c>
      <c r="D14" s="29">
        <v>198</v>
      </c>
      <c r="E14" s="31" t="b">
        <f t="shared" si="0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D0DE-819E-4332-B4FF-B8ADFE6FF532}">
  <dimension ref="C2:E13"/>
  <sheetViews>
    <sheetView showGridLines="0" workbookViewId="0">
      <selection activeCell="E7" sqref="E7"/>
    </sheetView>
  </sheetViews>
  <sheetFormatPr defaultRowHeight="14.4"/>
  <cols>
    <col min="4" max="4" width="17.5546875" bestFit="1" customWidth="1"/>
    <col min="5" max="5" width="11.109375" bestFit="1" customWidth="1"/>
  </cols>
  <sheetData>
    <row r="2" spans="3:5" ht="15" thickBot="1"/>
    <row r="3" spans="3:5" ht="15" thickBot="1">
      <c r="C3" s="54" t="s">
        <v>85</v>
      </c>
      <c r="D3" s="55" t="s">
        <v>171</v>
      </c>
      <c r="E3" s="55" t="s">
        <v>198</v>
      </c>
    </row>
    <row r="4" spans="3:5" ht="15" thickBot="1">
      <c r="C4" s="28">
        <v>1</v>
      </c>
      <c r="D4" s="29" t="b">
        <f>50&gt;100</f>
        <v>0</v>
      </c>
      <c r="E4" s="31" t="b">
        <f>_xlfn.ISFORMULA(D4)</f>
        <v>1</v>
      </c>
    </row>
    <row r="5" spans="3:5" ht="15" thickBot="1">
      <c r="C5" s="28">
        <v>2</v>
      </c>
      <c r="D5" s="29" t="e">
        <f>NA()</f>
        <v>#N/A</v>
      </c>
      <c r="E5" s="31" t="b">
        <f t="shared" ref="E5:E13" si="0">_xlfn.ISFORMULA(D5)</f>
        <v>1</v>
      </c>
    </row>
    <row r="6" spans="3:5" ht="15" thickBot="1">
      <c r="C6" s="28">
        <v>3</v>
      </c>
      <c r="D6" s="29">
        <f>50+25</f>
        <v>75</v>
      </c>
      <c r="E6" s="31" t="b">
        <f t="shared" si="0"/>
        <v>1</v>
      </c>
    </row>
    <row r="7" spans="3:5" ht="15" thickBot="1">
      <c r="C7" s="28">
        <v>4</v>
      </c>
      <c r="D7" s="29" t="b">
        <f>96&gt;90</f>
        <v>1</v>
      </c>
      <c r="E7" s="31" t="b">
        <f t="shared" si="0"/>
        <v>1</v>
      </c>
    </row>
    <row r="8" spans="3:5" ht="15" thickBot="1">
      <c r="C8" s="28">
        <v>5</v>
      </c>
      <c r="D8" s="29" t="s">
        <v>197</v>
      </c>
      <c r="E8" s="31" t="b">
        <f t="shared" si="0"/>
        <v>0</v>
      </c>
    </row>
    <row r="9" spans="3:5" ht="15" thickBot="1">
      <c r="C9" s="28">
        <v>6</v>
      </c>
      <c r="D9" s="29" t="s">
        <v>188</v>
      </c>
      <c r="E9" s="31" t="b">
        <f t="shared" si="0"/>
        <v>0</v>
      </c>
    </row>
    <row r="10" spans="3:5" ht="15" thickBot="1">
      <c r="C10" s="28">
        <v>7</v>
      </c>
      <c r="D10" s="29">
        <v>56</v>
      </c>
      <c r="E10" s="31" t="b">
        <f t="shared" si="0"/>
        <v>0</v>
      </c>
    </row>
    <row r="11" spans="3:5" ht="15" thickBot="1">
      <c r="C11" s="28">
        <v>8</v>
      </c>
      <c r="D11" s="29">
        <f>32-16</f>
        <v>16</v>
      </c>
      <c r="E11" s="31" t="b">
        <f t="shared" si="0"/>
        <v>1</v>
      </c>
    </row>
    <row r="12" spans="3:5" ht="15" thickBot="1">
      <c r="C12" s="28">
        <v>9</v>
      </c>
      <c r="D12" s="29">
        <v>32</v>
      </c>
      <c r="E12" s="31" t="b">
        <f t="shared" si="0"/>
        <v>0</v>
      </c>
    </row>
    <row r="13" spans="3:5" ht="15" thickBot="1">
      <c r="C13" s="28">
        <v>10</v>
      </c>
      <c r="D13" s="29">
        <v>198</v>
      </c>
      <c r="E13" s="31" t="b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Information</vt:lpstr>
      <vt:lpstr>Explian all Functions</vt:lpstr>
      <vt:lpstr>Upper Lower &amp; Proper</vt:lpstr>
      <vt:lpstr>Trim</vt:lpstr>
      <vt:lpstr>Concatenate</vt:lpstr>
      <vt:lpstr>ROMAN</vt:lpstr>
      <vt:lpstr>Left Right &amp; Mid</vt:lpstr>
      <vt:lpstr>Exact LEN &amp; Repeat</vt:lpstr>
      <vt:lpstr>Add Sub Multi Div &amp; Percnt</vt:lpstr>
      <vt:lpstr>int abs fact power</vt:lpstr>
      <vt:lpstr>SQRT value floor ceiling round</vt:lpstr>
      <vt:lpstr>isblank</vt:lpstr>
      <vt:lpstr>Trace Preced &amp; Dependents</vt:lpstr>
      <vt:lpstr>Large &amp; Small</vt:lpstr>
      <vt:lpstr>Row Rows Columns &amp; coulumn</vt:lpstr>
      <vt:lpstr>Find &amp; Search</vt:lpstr>
      <vt:lpstr>Iferror IsError</vt:lpstr>
      <vt:lpstr>IsOdd Is Even IsText IsNonText</vt:lpstr>
      <vt:lpstr>N NA &amp; IsNA IFNA</vt:lpstr>
      <vt:lpstr>ISLogical ISERR ISREF</vt:lpstr>
      <vt:lpstr>ISFormula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surera</cp:lastModifiedBy>
  <dcterms:created xsi:type="dcterms:W3CDTF">2015-06-05T18:17:20Z</dcterms:created>
  <dcterms:modified xsi:type="dcterms:W3CDTF">2025-09-08T13:47:01Z</dcterms:modified>
</cp:coreProperties>
</file>